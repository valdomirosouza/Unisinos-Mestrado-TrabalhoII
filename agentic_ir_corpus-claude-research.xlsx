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valdomirosouza/Projects/Unisinos-Mestrado-TrabalhoII/"/>
    </mc:Choice>
  </mc:AlternateContent>
  <xr:revisionPtr revIDLastSave="0" documentId="13_ncr:1_{6F60479C-1EAD-6B4D-9513-00D04BE41E58}" xr6:coauthVersionLast="47" xr6:coauthVersionMax="47" xr10:uidLastSave="{00000000-0000-0000-0000-000000000000}"/>
  <bookViews>
    <workbookView xWindow="0" yWindow="660" windowWidth="30240" windowHeight="17460" activeTab="2" xr2:uid="{00000000-000D-0000-FFFF-FFFF00000000}"/>
  </bookViews>
  <sheets>
    <sheet name="Classificados (v2)" sheetId="10" r:id="rId1"/>
    <sheet name="Classificados" sheetId="6" r:id="rId2"/>
    <sheet name="Scopus" sheetId="8" r:id="rId3"/>
    <sheet name="Sheet5" sheetId="9" r:id="rId4"/>
    <sheet name="Sheet3" sheetId="7" r:id="rId5"/>
    <sheet name="Detail1" sheetId="3" r:id="rId6"/>
    <sheet name="Detail2" sheetId="4" r:id="rId7"/>
    <sheet name="Sheet2" sheetId="5" r:id="rId8"/>
    <sheet name="Sheet1" sheetId="2" r:id="rId9"/>
    <sheet name="Sheet 1 - agentic_ir_corpus (1)" sheetId="1" r:id="rId10"/>
  </sheets>
  <calcPr calcId="191029"/>
  <pivotCaches>
    <pivotCache cacheId="5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4" i="10" l="1"/>
  <c r="K94" i="10"/>
  <c r="J94" i="10"/>
  <c r="I94" i="10"/>
  <c r="L93" i="10"/>
  <c r="K93" i="10"/>
  <c r="J93" i="10"/>
  <c r="I93" i="10"/>
  <c r="L92" i="10"/>
  <c r="K92" i="10"/>
  <c r="J92" i="10"/>
  <c r="I92" i="10"/>
  <c r="L91" i="10"/>
  <c r="K91" i="10"/>
  <c r="J91" i="10"/>
  <c r="I91" i="10"/>
  <c r="L90" i="10"/>
  <c r="K90" i="10"/>
  <c r="J90" i="10"/>
  <c r="I90" i="10"/>
  <c r="L89" i="10"/>
  <c r="K89" i="10"/>
  <c r="J89" i="10"/>
  <c r="I89" i="10"/>
  <c r="L88" i="10"/>
  <c r="K88" i="10"/>
  <c r="J88" i="10"/>
  <c r="I88" i="10"/>
  <c r="L87" i="10"/>
  <c r="K87" i="10"/>
  <c r="J87" i="10"/>
  <c r="I87" i="10"/>
  <c r="L86" i="10"/>
  <c r="K86" i="10"/>
  <c r="J86" i="10"/>
  <c r="I86" i="10"/>
  <c r="L85" i="10"/>
  <c r="K85" i="10"/>
  <c r="J85" i="10"/>
  <c r="I85" i="10"/>
  <c r="L84" i="10"/>
  <c r="K84" i="10"/>
  <c r="J84" i="10"/>
  <c r="I84" i="10"/>
  <c r="L83" i="10"/>
  <c r="K83" i="10"/>
  <c r="J83" i="10"/>
  <c r="I83" i="10"/>
  <c r="L82" i="10"/>
  <c r="K82" i="10"/>
  <c r="J82" i="10"/>
  <c r="I82" i="10"/>
  <c r="L81" i="10"/>
  <c r="K81" i="10"/>
  <c r="J81" i="10"/>
  <c r="I81" i="10"/>
  <c r="L80" i="10"/>
  <c r="K80" i="10"/>
  <c r="J80" i="10"/>
  <c r="I80" i="10"/>
  <c r="L79" i="10"/>
  <c r="K79" i="10"/>
  <c r="J79" i="10"/>
  <c r="I79" i="10"/>
  <c r="L78" i="10"/>
  <c r="K78" i="10"/>
  <c r="J78" i="10"/>
  <c r="I78" i="10"/>
  <c r="L77" i="10"/>
  <c r="K77" i="10"/>
  <c r="J77" i="10"/>
  <c r="I77" i="10"/>
  <c r="L76" i="10"/>
  <c r="K76" i="10"/>
  <c r="J76" i="10"/>
  <c r="I76" i="10"/>
  <c r="L75" i="10"/>
  <c r="K75" i="10"/>
  <c r="J75" i="10"/>
  <c r="I75" i="10"/>
  <c r="L74" i="10"/>
  <c r="K74" i="10"/>
  <c r="J74" i="10"/>
  <c r="I74" i="10"/>
  <c r="L73" i="10"/>
  <c r="K73" i="10"/>
  <c r="J73" i="10"/>
  <c r="I73" i="10"/>
  <c r="L72" i="10"/>
  <c r="K72" i="10"/>
  <c r="J72" i="10"/>
  <c r="I72" i="10"/>
  <c r="L71" i="10"/>
  <c r="K71" i="10"/>
  <c r="J71" i="10"/>
  <c r="I71" i="10"/>
  <c r="L70" i="10"/>
  <c r="K70" i="10"/>
  <c r="J70" i="10"/>
  <c r="I70" i="10"/>
  <c r="L69" i="10"/>
  <c r="K69" i="10"/>
  <c r="J69" i="10"/>
  <c r="I69" i="10"/>
  <c r="L68" i="10"/>
  <c r="K68" i="10"/>
  <c r="J68" i="10"/>
  <c r="I68" i="10"/>
  <c r="L67" i="10"/>
  <c r="K67" i="10"/>
  <c r="J67" i="10"/>
  <c r="I67" i="10"/>
  <c r="L66" i="10"/>
  <c r="K66" i="10"/>
  <c r="J66" i="10"/>
  <c r="I66" i="10"/>
  <c r="L65" i="10"/>
  <c r="K65" i="10"/>
  <c r="J65" i="10"/>
  <c r="I65" i="10"/>
  <c r="L64" i="10"/>
  <c r="K64" i="10"/>
  <c r="J64" i="10"/>
  <c r="I64" i="10"/>
  <c r="L63" i="10"/>
  <c r="K63" i="10"/>
  <c r="J63" i="10"/>
  <c r="I63" i="10"/>
  <c r="L62" i="10"/>
  <c r="K62" i="10"/>
  <c r="J62" i="10"/>
  <c r="I62" i="10"/>
  <c r="L61" i="10"/>
  <c r="K61" i="10"/>
  <c r="J61" i="10"/>
  <c r="I61" i="10"/>
  <c r="L60" i="10"/>
  <c r="K60" i="10"/>
  <c r="J60" i="10"/>
  <c r="I60" i="10"/>
  <c r="L59" i="10"/>
  <c r="K59" i="10"/>
  <c r="J59" i="10"/>
  <c r="I59" i="10"/>
  <c r="L58" i="10"/>
  <c r="K58" i="10"/>
  <c r="J58" i="10"/>
  <c r="I58" i="10"/>
  <c r="L57" i="10"/>
  <c r="K57" i="10"/>
  <c r="J57" i="10"/>
  <c r="I57" i="10"/>
  <c r="L56" i="10"/>
  <c r="K56" i="10"/>
  <c r="J56" i="10"/>
  <c r="I56" i="10"/>
  <c r="L55" i="10"/>
  <c r="K55" i="10"/>
  <c r="J55" i="10"/>
  <c r="I55" i="10"/>
  <c r="L54" i="10"/>
  <c r="K54" i="10"/>
  <c r="J54" i="10"/>
  <c r="I54" i="10"/>
  <c r="L53" i="10"/>
  <c r="K53" i="10"/>
  <c r="J53" i="10"/>
  <c r="I53" i="10"/>
  <c r="L52" i="10"/>
  <c r="K52" i="10"/>
  <c r="J52" i="10"/>
  <c r="I52" i="10"/>
  <c r="L51" i="10"/>
  <c r="K51" i="10"/>
  <c r="J51" i="10"/>
  <c r="I51" i="10"/>
  <c r="L50" i="10"/>
  <c r="K50" i="10"/>
  <c r="J50" i="10"/>
  <c r="I50" i="10"/>
  <c r="L49" i="10"/>
  <c r="K49" i="10"/>
  <c r="J49" i="10"/>
  <c r="I49" i="10"/>
  <c r="L48" i="10"/>
  <c r="K48" i="10"/>
  <c r="J48" i="10"/>
  <c r="I48" i="10"/>
  <c r="L47" i="10"/>
  <c r="K47" i="10"/>
  <c r="J47" i="10"/>
  <c r="I47" i="10"/>
  <c r="L46" i="10"/>
  <c r="K46" i="10"/>
  <c r="J46" i="10"/>
  <c r="I46" i="10"/>
  <c r="L45" i="10"/>
  <c r="K45" i="10"/>
  <c r="J45" i="10"/>
  <c r="I45" i="10"/>
  <c r="L44" i="10"/>
  <c r="K44" i="10"/>
  <c r="J44" i="10"/>
  <c r="I44" i="10"/>
  <c r="L43" i="10"/>
  <c r="K43" i="10"/>
  <c r="J43" i="10"/>
  <c r="I43" i="10"/>
  <c r="L42" i="10"/>
  <c r="K42" i="10"/>
  <c r="J42" i="10"/>
  <c r="I42" i="10"/>
  <c r="L41" i="10"/>
  <c r="K41" i="10"/>
  <c r="J41" i="10"/>
  <c r="I41" i="10"/>
  <c r="L40" i="10"/>
  <c r="K40" i="10"/>
  <c r="J40" i="10"/>
  <c r="I40" i="10"/>
  <c r="L39" i="10"/>
  <c r="K39" i="10"/>
  <c r="J39" i="10"/>
  <c r="I39" i="10"/>
  <c r="L38" i="10"/>
  <c r="K38" i="10"/>
  <c r="J38" i="10"/>
  <c r="I38" i="10"/>
  <c r="L37" i="10"/>
  <c r="K37" i="10"/>
  <c r="J37" i="10"/>
  <c r="I37" i="10"/>
  <c r="L36" i="10"/>
  <c r="K36" i="10"/>
  <c r="J36" i="10"/>
  <c r="I36" i="10"/>
  <c r="L35" i="10"/>
  <c r="K35" i="10"/>
  <c r="J35" i="10"/>
  <c r="I35" i="10"/>
  <c r="L34" i="10"/>
  <c r="K34" i="10"/>
  <c r="J34" i="10"/>
  <c r="I34" i="10"/>
  <c r="L33" i="10"/>
  <c r="K33" i="10"/>
  <c r="J33" i="10"/>
  <c r="I33" i="10"/>
  <c r="L32" i="10"/>
  <c r="K32" i="10"/>
  <c r="J32" i="10"/>
  <c r="I32" i="10"/>
  <c r="L31" i="10"/>
  <c r="K31" i="10"/>
  <c r="J31" i="10"/>
  <c r="I31" i="10"/>
  <c r="L30" i="10"/>
  <c r="K30" i="10"/>
  <c r="J30" i="10"/>
  <c r="I30" i="10"/>
  <c r="L29" i="10"/>
  <c r="K29" i="10"/>
  <c r="J29" i="10"/>
  <c r="I29" i="10"/>
  <c r="L28" i="10"/>
  <c r="K28" i="10"/>
  <c r="J28" i="10"/>
  <c r="I28" i="10"/>
  <c r="L27" i="10"/>
  <c r="K27" i="10"/>
  <c r="J27" i="10"/>
  <c r="I27" i="10"/>
  <c r="L26" i="10"/>
  <c r="K26" i="10"/>
  <c r="J26" i="10"/>
  <c r="I26" i="10"/>
  <c r="L25" i="10"/>
  <c r="K25" i="10"/>
  <c r="J25" i="10"/>
  <c r="I25" i="10"/>
  <c r="L24" i="10"/>
  <c r="K24" i="10"/>
  <c r="J24" i="10"/>
  <c r="I24" i="10"/>
  <c r="L23" i="10"/>
  <c r="K23" i="10"/>
  <c r="J23" i="10"/>
  <c r="I23" i="10"/>
  <c r="L22" i="10"/>
  <c r="K22" i="10"/>
  <c r="J22" i="10"/>
  <c r="I22" i="10"/>
  <c r="L21" i="10"/>
  <c r="K21" i="10"/>
  <c r="J21" i="10"/>
  <c r="I21" i="10"/>
  <c r="L20" i="10"/>
  <c r="K20" i="10"/>
  <c r="J20" i="10"/>
  <c r="I20" i="10"/>
  <c r="L19" i="10"/>
  <c r="K19" i="10"/>
  <c r="J19" i="10"/>
  <c r="I19" i="10"/>
  <c r="L18" i="10"/>
  <c r="K18" i="10"/>
  <c r="J18" i="10"/>
  <c r="I18" i="10"/>
  <c r="L17" i="10"/>
  <c r="K17" i="10"/>
  <c r="J17" i="10"/>
  <c r="I17" i="10"/>
  <c r="L16" i="10"/>
  <c r="K16" i="10"/>
  <c r="J16" i="10"/>
  <c r="I16" i="10"/>
  <c r="L15" i="10"/>
  <c r="K15" i="10"/>
  <c r="J15" i="10"/>
  <c r="I15" i="10"/>
  <c r="L14" i="10"/>
  <c r="K14" i="10"/>
  <c r="J14" i="10"/>
  <c r="I14" i="10"/>
  <c r="L13" i="10"/>
  <c r="K13" i="10"/>
  <c r="J13" i="10"/>
  <c r="I13" i="10"/>
  <c r="L12" i="10"/>
  <c r="K12" i="10"/>
  <c r="J12" i="10"/>
  <c r="I12" i="10"/>
  <c r="L11" i="10"/>
  <c r="K11" i="10"/>
  <c r="J11" i="10"/>
  <c r="I11" i="10"/>
  <c r="L10" i="10"/>
  <c r="K10" i="10"/>
  <c r="J10" i="10"/>
  <c r="I10" i="10"/>
  <c r="L9" i="10"/>
  <c r="K9" i="10"/>
  <c r="J9" i="10"/>
  <c r="I9" i="10"/>
  <c r="L8" i="10"/>
  <c r="K8" i="10"/>
  <c r="J8" i="10"/>
  <c r="I8" i="10"/>
  <c r="L7" i="10"/>
  <c r="K7" i="10"/>
  <c r="J7" i="10"/>
  <c r="I7" i="10"/>
  <c r="L6" i="10"/>
  <c r="K6" i="10"/>
  <c r="J6" i="10"/>
  <c r="I6" i="10"/>
  <c r="L5" i="10"/>
  <c r="K5" i="10"/>
  <c r="J5" i="10"/>
  <c r="I5" i="10"/>
  <c r="L4" i="10"/>
  <c r="K4" i="10"/>
  <c r="J4" i="10"/>
  <c r="I4" i="10"/>
  <c r="L3" i="10"/>
  <c r="K3" i="10"/>
  <c r="J3" i="10"/>
  <c r="I3" i="10"/>
  <c r="L2" i="10"/>
  <c r="K2" i="10"/>
  <c r="J2" i="10"/>
  <c r="I2" i="10"/>
  <c r="K94" i="6"/>
  <c r="J94" i="6"/>
  <c r="I94" i="6"/>
  <c r="K93" i="6"/>
  <c r="J93" i="6"/>
  <c r="I93" i="6"/>
  <c r="K92" i="6"/>
  <c r="J92" i="6"/>
  <c r="I92" i="6"/>
  <c r="K91" i="6"/>
  <c r="J91" i="6"/>
  <c r="I91" i="6"/>
  <c r="K90" i="6"/>
  <c r="J90" i="6"/>
  <c r="I90" i="6"/>
  <c r="K89" i="6"/>
  <c r="J89" i="6"/>
  <c r="I89" i="6"/>
  <c r="K88" i="6"/>
  <c r="J88" i="6"/>
  <c r="I88" i="6"/>
  <c r="K87" i="6"/>
  <c r="J87" i="6"/>
  <c r="I87" i="6"/>
  <c r="K86" i="6"/>
  <c r="J86" i="6"/>
  <c r="I86" i="6"/>
  <c r="K85" i="6"/>
  <c r="J85" i="6"/>
  <c r="I85" i="6"/>
  <c r="K84" i="6"/>
  <c r="J84" i="6"/>
  <c r="I84" i="6"/>
  <c r="K83" i="6"/>
  <c r="J83" i="6"/>
  <c r="I83" i="6"/>
  <c r="K82" i="6"/>
  <c r="J82" i="6"/>
  <c r="I82" i="6"/>
  <c r="K81" i="6"/>
  <c r="J81" i="6"/>
  <c r="I81" i="6"/>
  <c r="K80" i="6"/>
  <c r="J80" i="6"/>
  <c r="I80" i="6"/>
  <c r="K79" i="6"/>
  <c r="J79" i="6"/>
  <c r="I79" i="6"/>
  <c r="K78" i="6"/>
  <c r="J78" i="6"/>
  <c r="I78" i="6"/>
  <c r="K77" i="6"/>
  <c r="J77" i="6"/>
  <c r="I77" i="6"/>
  <c r="K76" i="6"/>
  <c r="J76" i="6"/>
  <c r="I76" i="6"/>
  <c r="K75" i="6"/>
  <c r="J75" i="6"/>
  <c r="I75" i="6"/>
  <c r="K74" i="6"/>
  <c r="J74" i="6"/>
  <c r="I74" i="6"/>
  <c r="K73" i="6"/>
  <c r="J73" i="6"/>
  <c r="I73" i="6"/>
  <c r="K72" i="6"/>
  <c r="J72" i="6"/>
  <c r="I72" i="6"/>
  <c r="K71" i="6"/>
  <c r="J71" i="6"/>
  <c r="I71" i="6"/>
  <c r="K70" i="6"/>
  <c r="J70" i="6"/>
  <c r="I70" i="6"/>
  <c r="K69" i="6"/>
  <c r="J69" i="6"/>
  <c r="I69" i="6"/>
  <c r="K68" i="6"/>
  <c r="J68" i="6"/>
  <c r="I68" i="6"/>
  <c r="K67" i="6"/>
  <c r="J67" i="6"/>
  <c r="I67" i="6"/>
  <c r="K66" i="6"/>
  <c r="J66" i="6"/>
  <c r="I66" i="6"/>
  <c r="K65" i="6"/>
  <c r="J65" i="6"/>
  <c r="I65" i="6"/>
  <c r="K64" i="6"/>
  <c r="J64" i="6"/>
  <c r="I64" i="6"/>
  <c r="K63" i="6"/>
  <c r="J63" i="6"/>
  <c r="I63" i="6"/>
  <c r="K62" i="6"/>
  <c r="J62" i="6"/>
  <c r="I62" i="6"/>
  <c r="K61" i="6"/>
  <c r="J61" i="6"/>
  <c r="I61" i="6"/>
  <c r="K60" i="6"/>
  <c r="J60" i="6"/>
  <c r="I60" i="6"/>
  <c r="K59" i="6"/>
  <c r="J59" i="6"/>
  <c r="I59" i="6"/>
  <c r="K58" i="6"/>
  <c r="J58" i="6"/>
  <c r="I58" i="6"/>
  <c r="K57" i="6"/>
  <c r="J57" i="6"/>
  <c r="I57" i="6"/>
  <c r="K56" i="6"/>
  <c r="J56" i="6"/>
  <c r="I56" i="6"/>
  <c r="K55" i="6"/>
  <c r="J55" i="6"/>
  <c r="I55" i="6"/>
  <c r="K54" i="6"/>
  <c r="J54" i="6"/>
  <c r="I54" i="6"/>
  <c r="K53" i="6"/>
  <c r="J53" i="6"/>
  <c r="I53" i="6"/>
  <c r="K52" i="6"/>
  <c r="J52" i="6"/>
  <c r="I52" i="6"/>
  <c r="K51" i="6"/>
  <c r="J51" i="6"/>
  <c r="I51" i="6"/>
  <c r="K50" i="6"/>
  <c r="J50" i="6"/>
  <c r="I50" i="6"/>
  <c r="K49" i="6"/>
  <c r="J49" i="6"/>
  <c r="I49" i="6"/>
  <c r="K48" i="6"/>
  <c r="J48" i="6"/>
  <c r="I48" i="6"/>
  <c r="K47" i="6"/>
  <c r="J47" i="6"/>
  <c r="I47" i="6"/>
  <c r="K46" i="6"/>
  <c r="J46" i="6"/>
  <c r="I46" i="6"/>
  <c r="K45" i="6"/>
  <c r="J45" i="6"/>
  <c r="I45" i="6"/>
  <c r="K44" i="6"/>
  <c r="J44" i="6"/>
  <c r="I44" i="6"/>
  <c r="K43" i="6"/>
  <c r="J43" i="6"/>
  <c r="I43" i="6"/>
  <c r="K42" i="6"/>
  <c r="J42" i="6"/>
  <c r="I42" i="6"/>
  <c r="K41" i="6"/>
  <c r="J41" i="6"/>
  <c r="I41" i="6"/>
  <c r="K40" i="6"/>
  <c r="J40" i="6"/>
  <c r="I40" i="6"/>
  <c r="K39" i="6"/>
  <c r="J39" i="6"/>
  <c r="I39" i="6"/>
  <c r="K38" i="6"/>
  <c r="J38" i="6"/>
  <c r="I38" i="6"/>
  <c r="K37" i="6"/>
  <c r="J37" i="6"/>
  <c r="I37" i="6"/>
  <c r="K36" i="6"/>
  <c r="J36" i="6"/>
  <c r="I36" i="6"/>
  <c r="K35" i="6"/>
  <c r="J35" i="6"/>
  <c r="I35" i="6"/>
  <c r="K34" i="6"/>
  <c r="J34" i="6"/>
  <c r="I34" i="6"/>
  <c r="K33" i="6"/>
  <c r="J33" i="6"/>
  <c r="I33" i="6"/>
  <c r="K32" i="6"/>
  <c r="J32" i="6"/>
  <c r="I32" i="6"/>
  <c r="K31" i="6"/>
  <c r="J31" i="6"/>
  <c r="I31" i="6"/>
  <c r="K30" i="6"/>
  <c r="J30" i="6"/>
  <c r="I30" i="6"/>
  <c r="K29" i="6"/>
  <c r="J29" i="6"/>
  <c r="I29" i="6"/>
  <c r="K28" i="6"/>
  <c r="J28" i="6"/>
  <c r="I28" i="6"/>
  <c r="K27" i="6"/>
  <c r="J27" i="6"/>
  <c r="I27" i="6"/>
  <c r="K26" i="6"/>
  <c r="J26" i="6"/>
  <c r="I26" i="6"/>
  <c r="K25" i="6"/>
  <c r="J25" i="6"/>
  <c r="I25" i="6"/>
  <c r="K24" i="6"/>
  <c r="J24" i="6"/>
  <c r="I24" i="6"/>
  <c r="K23" i="6"/>
  <c r="J23" i="6"/>
  <c r="I23" i="6"/>
  <c r="K22" i="6"/>
  <c r="J22" i="6"/>
  <c r="I22" i="6"/>
  <c r="K21" i="6"/>
  <c r="J21" i="6"/>
  <c r="I21" i="6"/>
  <c r="K20" i="6"/>
  <c r="J20" i="6"/>
  <c r="I20" i="6"/>
  <c r="K19" i="6"/>
  <c r="J19" i="6"/>
  <c r="I19" i="6"/>
  <c r="K18" i="6"/>
  <c r="J18" i="6"/>
  <c r="I18" i="6"/>
  <c r="K17" i="6"/>
  <c r="J17" i="6"/>
  <c r="I17" i="6"/>
  <c r="K16" i="6"/>
  <c r="J16" i="6"/>
  <c r="I16" i="6"/>
  <c r="K15" i="6"/>
  <c r="J15" i="6"/>
  <c r="I15" i="6"/>
  <c r="K14" i="6"/>
  <c r="J14" i="6"/>
  <c r="I14" i="6"/>
  <c r="K13" i="6"/>
  <c r="J13" i="6"/>
  <c r="I13" i="6"/>
  <c r="K12" i="6"/>
  <c r="J12" i="6"/>
  <c r="I12" i="6"/>
  <c r="K11" i="6"/>
  <c r="J11" i="6"/>
  <c r="I11" i="6"/>
  <c r="K10" i="6"/>
  <c r="J10" i="6"/>
  <c r="I10" i="6"/>
  <c r="K9" i="6"/>
  <c r="J9" i="6"/>
  <c r="I9" i="6"/>
  <c r="K8" i="6"/>
  <c r="J8" i="6"/>
  <c r="I8" i="6"/>
  <c r="K7" i="6"/>
  <c r="J7" i="6"/>
  <c r="I7" i="6"/>
  <c r="K6" i="6"/>
  <c r="J6" i="6"/>
  <c r="I6" i="6"/>
  <c r="K5" i="6"/>
  <c r="J5" i="6"/>
  <c r="I5" i="6"/>
  <c r="K4" i="6"/>
  <c r="J4" i="6"/>
  <c r="I4" i="6"/>
  <c r="K3" i="6"/>
  <c r="J3" i="6"/>
  <c r="I3" i="6"/>
  <c r="K2" i="6"/>
  <c r="J2" i="6"/>
  <c r="I2" i="6"/>
  <c r="AE51" i="8"/>
  <c r="AE50" i="8"/>
  <c r="AE49" i="8"/>
  <c r="AE4" i="8"/>
  <c r="AE5" i="8"/>
  <c r="AE6" i="8"/>
  <c r="AE7" i="8"/>
  <c r="AE8" i="8"/>
  <c r="AE9" i="8"/>
  <c r="AE10" i="8"/>
  <c r="AE11" i="8"/>
  <c r="AE12" i="8"/>
  <c r="AE13" i="8"/>
  <c r="AE14" i="8"/>
  <c r="AE15" i="8"/>
  <c r="AE16" i="8"/>
  <c r="AE17" i="8"/>
  <c r="AE18" i="8"/>
  <c r="AE19" i="8"/>
  <c r="AE20" i="8"/>
  <c r="AE21" i="8"/>
  <c r="AE22" i="8"/>
  <c r="AE23" i="8"/>
  <c r="AE24" i="8"/>
  <c r="AE25" i="8"/>
  <c r="AE26" i="8"/>
  <c r="AE27" i="8"/>
  <c r="AE28" i="8"/>
  <c r="AE29" i="8"/>
  <c r="AE30" i="8"/>
  <c r="AE31" i="8"/>
  <c r="AE32" i="8"/>
  <c r="AE33" i="8"/>
  <c r="AE34" i="8"/>
  <c r="AE35" i="8"/>
  <c r="AE36" i="8"/>
  <c r="AE37" i="8"/>
  <c r="AE38" i="8"/>
  <c r="AE39" i="8"/>
  <c r="AE40" i="8"/>
  <c r="AE41" i="8"/>
  <c r="AE42" i="8"/>
  <c r="AE43" i="8"/>
  <c r="AE44" i="8"/>
  <c r="AE45" i="8"/>
  <c r="AE46" i="8"/>
  <c r="AE47" i="8"/>
  <c r="AE48" i="8"/>
  <c r="AE3" i="8"/>
  <c r="G3" i="9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2" i="9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X32" i="8"/>
  <c r="X33" i="8"/>
  <c r="X34" i="8"/>
  <c r="X35" i="8"/>
  <c r="X36" i="8"/>
  <c r="X37" i="8"/>
  <c r="X38" i="8"/>
  <c r="X39" i="8"/>
  <c r="X40" i="8"/>
  <c r="X41" i="8"/>
  <c r="X42" i="8"/>
  <c r="X43" i="8"/>
  <c r="X44" i="8"/>
  <c r="X45" i="8"/>
  <c r="X46" i="8"/>
  <c r="X47" i="8"/>
  <c r="X48" i="8"/>
  <c r="X49" i="8"/>
  <c r="X50" i="8"/>
  <c r="X51" i="8"/>
  <c r="X52" i="8"/>
  <c r="X53" i="8"/>
  <c r="X54" i="8"/>
  <c r="X55" i="8"/>
  <c r="X56" i="8"/>
  <c r="X57" i="8"/>
  <c r="X58" i="8"/>
  <c r="X59" i="8"/>
  <c r="X60" i="8"/>
  <c r="X61" i="8"/>
  <c r="X62" i="8"/>
  <c r="X63" i="8"/>
  <c r="X64" i="8"/>
  <c r="X65" i="8"/>
  <c r="X66" i="8"/>
  <c r="X67" i="8"/>
  <c r="X68" i="8"/>
  <c r="X69" i="8"/>
  <c r="X70" i="8"/>
  <c r="X71" i="8"/>
  <c r="X72" i="8"/>
  <c r="X73" i="8"/>
  <c r="X74" i="8"/>
  <c r="X75" i="8"/>
  <c r="X76" i="8"/>
  <c r="X77" i="8"/>
  <c r="X78" i="8"/>
  <c r="X79" i="8"/>
  <c r="X80" i="8"/>
  <c r="X81" i="8"/>
  <c r="X82" i="8"/>
  <c r="X83" i="8"/>
  <c r="X84" i="8"/>
  <c r="X85" i="8"/>
  <c r="X86" i="8"/>
  <c r="X87" i="8"/>
  <c r="X88" i="8"/>
  <c r="X89" i="8"/>
  <c r="X90" i="8"/>
  <c r="X91" i="8"/>
  <c r="X92" i="8"/>
  <c r="X93" i="8"/>
  <c r="X94" i="8"/>
  <c r="X95" i="8"/>
  <c r="X3" i="8"/>
  <c r="L3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2" i="6"/>
  <c r="AA3" i="5"/>
  <c r="AA4" i="5"/>
  <c r="AA5" i="5"/>
  <c r="AA6" i="5"/>
  <c r="AA7" i="5"/>
  <c r="AA8" i="5"/>
  <c r="AA9" i="5"/>
  <c r="AA10" i="5"/>
  <c r="AA11" i="5"/>
  <c r="AA12" i="5"/>
  <c r="AA13" i="5"/>
  <c r="AA14" i="5"/>
  <c r="AA15" i="5"/>
  <c r="AA16" i="5"/>
  <c r="AA17" i="5"/>
  <c r="AA18" i="5"/>
  <c r="AA19" i="5"/>
  <c r="AA20" i="5"/>
  <c r="AA21" i="5"/>
  <c r="AA22" i="5"/>
  <c r="AA23" i="5"/>
  <c r="AA24" i="5"/>
  <c r="AA25" i="5"/>
  <c r="AA26" i="5"/>
  <c r="AA27" i="5"/>
  <c r="AA28" i="5"/>
  <c r="AA29" i="5"/>
  <c r="AA30" i="5"/>
  <c r="AA31" i="5"/>
  <c r="AA32" i="5"/>
  <c r="AA33" i="5"/>
  <c r="AA34" i="5"/>
  <c r="AA35" i="5"/>
  <c r="AA36" i="5"/>
  <c r="AA37" i="5"/>
  <c r="AA38" i="5"/>
  <c r="AA39" i="5"/>
  <c r="AA40" i="5"/>
  <c r="AA2" i="5"/>
  <c r="I3" i="5"/>
  <c r="J3" i="5"/>
  <c r="K3" i="5"/>
  <c r="I4" i="5"/>
  <c r="J4" i="5"/>
  <c r="K4" i="5"/>
  <c r="I5" i="5"/>
  <c r="J5" i="5"/>
  <c r="K5" i="5"/>
  <c r="I6" i="5"/>
  <c r="J6" i="5"/>
  <c r="K6" i="5"/>
  <c r="I7" i="5"/>
  <c r="J7" i="5"/>
  <c r="K7" i="5"/>
  <c r="I8" i="5"/>
  <c r="J8" i="5"/>
  <c r="K8" i="5"/>
  <c r="I9" i="5"/>
  <c r="J9" i="5"/>
  <c r="K9" i="5"/>
  <c r="I10" i="5"/>
  <c r="J10" i="5"/>
  <c r="K10" i="5"/>
  <c r="I11" i="5"/>
  <c r="J11" i="5"/>
  <c r="K11" i="5"/>
  <c r="I12" i="5"/>
  <c r="J12" i="5"/>
  <c r="K12" i="5"/>
  <c r="I13" i="5"/>
  <c r="J13" i="5"/>
  <c r="K13" i="5"/>
  <c r="I14" i="5"/>
  <c r="J14" i="5"/>
  <c r="K14" i="5"/>
  <c r="I15" i="5"/>
  <c r="J15" i="5"/>
  <c r="K15" i="5"/>
  <c r="I16" i="5"/>
  <c r="J16" i="5"/>
  <c r="K16" i="5"/>
  <c r="I17" i="5"/>
  <c r="J17" i="5"/>
  <c r="K17" i="5"/>
  <c r="I18" i="5"/>
  <c r="J18" i="5"/>
  <c r="K18" i="5"/>
  <c r="I19" i="5"/>
  <c r="J19" i="5"/>
  <c r="K19" i="5"/>
  <c r="I20" i="5"/>
  <c r="J20" i="5"/>
  <c r="K20" i="5"/>
  <c r="I21" i="5"/>
  <c r="J21" i="5"/>
  <c r="K21" i="5"/>
  <c r="I22" i="5"/>
  <c r="J22" i="5"/>
  <c r="K22" i="5"/>
  <c r="I23" i="5"/>
  <c r="J23" i="5"/>
  <c r="K23" i="5"/>
  <c r="I24" i="5"/>
  <c r="J24" i="5"/>
  <c r="K24" i="5"/>
  <c r="I25" i="5"/>
  <c r="J25" i="5"/>
  <c r="K25" i="5"/>
  <c r="I26" i="5"/>
  <c r="J26" i="5"/>
  <c r="K26" i="5"/>
  <c r="I27" i="5"/>
  <c r="J27" i="5"/>
  <c r="K27" i="5"/>
  <c r="I28" i="5"/>
  <c r="J28" i="5"/>
  <c r="K28" i="5"/>
  <c r="I29" i="5"/>
  <c r="J29" i="5"/>
  <c r="K29" i="5"/>
  <c r="I30" i="5"/>
  <c r="J30" i="5"/>
  <c r="K30" i="5"/>
  <c r="I31" i="5"/>
  <c r="J31" i="5"/>
  <c r="K31" i="5"/>
  <c r="I32" i="5"/>
  <c r="J32" i="5"/>
  <c r="K32" i="5"/>
  <c r="I33" i="5"/>
  <c r="J33" i="5"/>
  <c r="K33" i="5"/>
  <c r="I34" i="5"/>
  <c r="J34" i="5"/>
  <c r="K34" i="5"/>
  <c r="I35" i="5"/>
  <c r="J35" i="5"/>
  <c r="K35" i="5"/>
  <c r="I36" i="5"/>
  <c r="J36" i="5"/>
  <c r="K36" i="5"/>
  <c r="I37" i="5"/>
  <c r="J37" i="5"/>
  <c r="K37" i="5"/>
  <c r="I38" i="5"/>
  <c r="J38" i="5"/>
  <c r="K38" i="5"/>
  <c r="I39" i="5"/>
  <c r="J39" i="5"/>
  <c r="K39" i="5"/>
  <c r="I40" i="5"/>
  <c r="J40" i="5"/>
  <c r="K40" i="5"/>
  <c r="I41" i="5"/>
  <c r="J41" i="5"/>
  <c r="K41" i="5"/>
  <c r="I42" i="5"/>
  <c r="J42" i="5"/>
  <c r="K42" i="5"/>
  <c r="I43" i="5"/>
  <c r="J43" i="5"/>
  <c r="K43" i="5"/>
  <c r="I44" i="5"/>
  <c r="J44" i="5"/>
  <c r="K44" i="5"/>
  <c r="I45" i="5"/>
  <c r="J45" i="5"/>
  <c r="K45" i="5"/>
  <c r="I46" i="5"/>
  <c r="J46" i="5"/>
  <c r="K46" i="5"/>
  <c r="I47" i="5"/>
  <c r="J47" i="5"/>
  <c r="K47" i="5"/>
  <c r="I48" i="5"/>
  <c r="J48" i="5"/>
  <c r="K48" i="5"/>
  <c r="I49" i="5"/>
  <c r="J49" i="5"/>
  <c r="K49" i="5"/>
  <c r="I50" i="5"/>
  <c r="J50" i="5"/>
  <c r="K50" i="5"/>
  <c r="I51" i="5"/>
  <c r="J51" i="5"/>
  <c r="K51" i="5"/>
  <c r="I52" i="5"/>
  <c r="J52" i="5"/>
  <c r="K52" i="5"/>
  <c r="I53" i="5"/>
  <c r="J53" i="5"/>
  <c r="K53" i="5"/>
  <c r="I54" i="5"/>
  <c r="J54" i="5"/>
  <c r="K54" i="5"/>
  <c r="I55" i="5"/>
  <c r="J55" i="5"/>
  <c r="K55" i="5"/>
  <c r="I56" i="5"/>
  <c r="J56" i="5"/>
  <c r="K56" i="5"/>
  <c r="I57" i="5"/>
  <c r="J57" i="5"/>
  <c r="K57" i="5"/>
  <c r="I58" i="5"/>
  <c r="J58" i="5"/>
  <c r="K58" i="5"/>
  <c r="I59" i="5"/>
  <c r="J59" i="5"/>
  <c r="K59" i="5"/>
  <c r="I60" i="5"/>
  <c r="J60" i="5"/>
  <c r="K60" i="5"/>
  <c r="I61" i="5"/>
  <c r="J61" i="5"/>
  <c r="K61" i="5"/>
  <c r="I62" i="5"/>
  <c r="J62" i="5"/>
  <c r="K62" i="5"/>
  <c r="I63" i="5"/>
  <c r="J63" i="5"/>
  <c r="K63" i="5"/>
  <c r="I64" i="5"/>
  <c r="J64" i="5"/>
  <c r="K64" i="5"/>
  <c r="I65" i="5"/>
  <c r="J65" i="5"/>
  <c r="K65" i="5"/>
  <c r="I66" i="5"/>
  <c r="J66" i="5"/>
  <c r="K66" i="5"/>
  <c r="I67" i="5"/>
  <c r="J67" i="5"/>
  <c r="K67" i="5"/>
  <c r="I68" i="5"/>
  <c r="J68" i="5"/>
  <c r="K68" i="5"/>
  <c r="I69" i="5"/>
  <c r="J69" i="5"/>
  <c r="K69" i="5"/>
  <c r="I70" i="5"/>
  <c r="J70" i="5"/>
  <c r="K70" i="5"/>
  <c r="I71" i="5"/>
  <c r="J71" i="5"/>
  <c r="K71" i="5"/>
  <c r="I72" i="5"/>
  <c r="J72" i="5"/>
  <c r="K72" i="5"/>
  <c r="I73" i="5"/>
  <c r="J73" i="5"/>
  <c r="K73" i="5"/>
  <c r="I74" i="5"/>
  <c r="J74" i="5"/>
  <c r="K74" i="5"/>
  <c r="I75" i="5"/>
  <c r="J75" i="5"/>
  <c r="K75" i="5"/>
  <c r="I76" i="5"/>
  <c r="J76" i="5"/>
  <c r="K76" i="5"/>
  <c r="I77" i="5"/>
  <c r="J77" i="5"/>
  <c r="K77" i="5"/>
  <c r="I78" i="5"/>
  <c r="J78" i="5"/>
  <c r="K78" i="5"/>
  <c r="I79" i="5"/>
  <c r="J79" i="5"/>
  <c r="K79" i="5"/>
  <c r="I80" i="5"/>
  <c r="J80" i="5"/>
  <c r="K80" i="5"/>
  <c r="I81" i="5"/>
  <c r="J81" i="5"/>
  <c r="K81" i="5"/>
  <c r="I82" i="5"/>
  <c r="J82" i="5"/>
  <c r="K82" i="5"/>
  <c r="I83" i="5"/>
  <c r="J83" i="5"/>
  <c r="K83" i="5"/>
  <c r="I84" i="5"/>
  <c r="J84" i="5"/>
  <c r="K84" i="5"/>
  <c r="I85" i="5"/>
  <c r="J85" i="5"/>
  <c r="K85" i="5"/>
  <c r="I86" i="5"/>
  <c r="J86" i="5"/>
  <c r="K86" i="5"/>
  <c r="I87" i="5"/>
  <c r="J87" i="5"/>
  <c r="K87" i="5"/>
  <c r="I88" i="5"/>
  <c r="J88" i="5"/>
  <c r="K88" i="5"/>
  <c r="I89" i="5"/>
  <c r="J89" i="5"/>
  <c r="K89" i="5"/>
  <c r="I90" i="5"/>
  <c r="J90" i="5"/>
  <c r="K90" i="5"/>
  <c r="I91" i="5"/>
  <c r="J91" i="5"/>
  <c r="K91" i="5"/>
  <c r="I92" i="5"/>
  <c r="J92" i="5"/>
  <c r="K92" i="5"/>
  <c r="I93" i="5"/>
  <c r="J93" i="5"/>
  <c r="K93" i="5"/>
  <c r="I94" i="5"/>
  <c r="J94" i="5"/>
  <c r="K94" i="5"/>
  <c r="K2" i="5"/>
  <c r="J2" i="5"/>
  <c r="I2" i="5"/>
</calcChain>
</file>

<file path=xl/sharedStrings.xml><?xml version="1.0" encoding="utf-8"?>
<sst xmlns="http://schemas.openxmlformats.org/spreadsheetml/2006/main" count="8320" uniqueCount="1618">
  <si>
    <t>agentic_ir_corpus (1)</t>
  </si>
  <si>
    <t>title</t>
  </si>
  <si>
    <t>authors</t>
  </si>
  <si>
    <t>year</t>
  </si>
  <si>
    <t>venue</t>
  </si>
  <si>
    <t>cluster</t>
  </si>
  <si>
    <t>paper_type</t>
  </si>
  <si>
    <t>citations</t>
  </si>
  <si>
    <t>doi</t>
  </si>
  <si>
    <t>arxiv_or_openalex_id</t>
  </si>
  <si>
    <t>in_your_seed_set</t>
  </si>
  <si>
    <t>is_landmark</t>
  </si>
  <si>
    <t>src</t>
  </si>
  <si>
    <t>AgentTrace: A Structured Logging Framework for Agent System Observability</t>
  </si>
  <si>
    <t>Adam AlSayyad; Kelvin Yuxiang Huang; Richik Pal</t>
  </si>
  <si>
    <t>arXiv</t>
  </si>
  <si>
    <t>Agent foundations</t>
  </si>
  <si>
    <t>survey/position</t>
  </si>
  <si>
    <t>2602.10133</t>
  </si>
  <si>
    <t>arxiv</t>
  </si>
  <si>
    <t>Entropy-Based Observability for AI Agent Behavior</t>
  </si>
  <si>
    <t>Olasimbo Ayodeji Arigbabu</t>
  </si>
  <si>
    <t>2606.05872</t>
  </si>
  <si>
    <t>From LLM Reasoning to Autonomous AI Agents: A Comprehensive Review</t>
  </si>
  <si>
    <t>Mohamed Amine Ferrag; Norbert Tihanyi; Mérouane Debbah</t>
  </si>
  <si>
    <t>IEEE Access</t>
  </si>
  <si>
    <t>7.0</t>
  </si>
  <si>
    <t>10.1109/access.2026.3698694</t>
  </si>
  <si>
    <t>W4416982487</t>
  </si>
  <si>
    <t>openalex</t>
  </si>
  <si>
    <t>When Errors Become Narratives: A Longitudinal Taxonomy of Silent Failures in a Production LLM Agent Runtime</t>
  </si>
  <si>
    <t>Wei Wu</t>
  </si>
  <si>
    <t>unscreened(rule-classified)</t>
  </si>
  <si>
    <t>2606.14589</t>
  </si>
  <si>
    <t>AGENTSAFE: A Unified Framework for Ethical Assurance and Governance in Agentic AI</t>
  </si>
  <si>
    <t>Rafflesia Khan; Declan Joyce; Mansura Habiba</t>
  </si>
  <si>
    <t>2512.03180</t>
  </si>
  <si>
    <t>AI Agents vs. Agentic AI: A Conceptual taxonomy, applications and challenges</t>
  </si>
  <si>
    <t>Ranjan Sapkota; Konstantinos I. Roumeliotis; Manoj Karkee</t>
  </si>
  <si>
    <t>Information Fusion</t>
  </si>
  <si>
    <t>169.0</t>
  </si>
  <si>
    <t>10.1016/j.inffus.2025.103599</t>
  </si>
  <si>
    <t>W4413427262</t>
  </si>
  <si>
    <t>Telemetry and Agentic AI: Foundations for Optical Network Automation</t>
  </si>
  <si>
    <t>Sergio Cruzes</t>
  </si>
  <si>
    <t>3.0</t>
  </si>
  <si>
    <t>10.1109/access.2025.3649768</t>
  </si>
  <si>
    <t>W7117556955</t>
  </si>
  <si>
    <t>AgentAI: A comprehensive survey on autonomous agents in distributed AI for industry 4.0</t>
  </si>
  <si>
    <t>Francesco Piccialli; Diletta Chiaro; Sundas Sarwar; Donato Cerciello; Pian Qi; Valeria Mele</t>
  </si>
  <si>
    <t>Expert Systems with Applications</t>
  </si>
  <si>
    <t>59.0</t>
  </si>
  <si>
    <t>10.1016/j.eswa.2025.128404</t>
  </si>
  <si>
    <t>W4410954314</t>
  </si>
  <si>
    <t>LLM-Based Multi-Agent Systems for Software Engineering: Literature Review, Vision, and the Road Ahead</t>
  </si>
  <si>
    <t>Junda He; Christoph Treude; David Lo</t>
  </si>
  <si>
    <t>ACM Transactions on Software Engineering and Methodology</t>
  </si>
  <si>
    <t>177.0</t>
  </si>
  <si>
    <t>10.1145/3712003</t>
  </si>
  <si>
    <t>W4406325768</t>
  </si>
  <si>
    <t>Small Language Model Agent for the Operations of Continuously Updating ICT Systems</t>
  </si>
  <si>
    <t>Nobukazu Fukuda; Haruhisa Nozue; Haruo Oishi</t>
  </si>
  <si>
    <t>0.0</t>
  </si>
  <si>
    <t>10.1109/ACCESS.2025.3544637</t>
  </si>
  <si>
    <t>W4407900333</t>
  </si>
  <si>
    <t>AgentOps: Enabling Observability of LLM Agents</t>
  </si>
  <si>
    <t>Liming Dong; Qinghua Lu; Liming Zhu</t>
  </si>
  <si>
    <t>2411.05285</t>
  </si>
  <si>
    <t>Co-Evolving Multi-Agent Transfer Reinforcement Learning via Scenario Independent Representation</t>
  </si>
  <si>
    <t>Ayesha Siddiqua; Siming Liu; Ayesha Siddika Nipu; Anthony M. Harris; Yan Liu</t>
  </si>
  <si>
    <t>9.0</t>
  </si>
  <si>
    <t>10.1109/ACCESS.2024.3430037</t>
  </si>
  <si>
    <t>W4400726849</t>
  </si>
  <si>
    <t>Building AI Agents for Autonomous Clouds: Challenges and Design Principles</t>
  </si>
  <si>
    <t>Manish Shetty; Yinfang Chen; Gagan Somashekar; Minghua Ma</t>
  </si>
  <si>
    <t>systems/empirical</t>
  </si>
  <si>
    <t>27.0</t>
  </si>
  <si>
    <t>10.1145/3698038.3698525</t>
  </si>
  <si>
    <t>landmark</t>
  </si>
  <si>
    <t>Agent System Mining: Vision, Benefits, and Challenges</t>
  </si>
  <si>
    <t>Andrei Tour; Artem Polyvyanyy; Anna Kalenkova</t>
  </si>
  <si>
    <t>32.0</t>
  </si>
  <si>
    <t>10.1109/ACCESS.2021.3095464</t>
  </si>
  <si>
    <t>W3180674049</t>
  </si>
  <si>
    <t>Artificial Empathy: A New Perspective for Analyzing and Designing Multi-Agent Systems</t>
  </si>
  <si>
    <t>Jize Chen; Dali Zhang; Zhenshen Qu; Changhong Wang</t>
  </si>
  <si>
    <t>10.0</t>
  </si>
  <si>
    <t>10.1109/ACCESS.2020.3029502</t>
  </si>
  <si>
    <t>W3092406976</t>
  </si>
  <si>
    <t>AlertGuardian: Intelligent Alert Life-Cycle Management for Large-scale Cloud Systems</t>
  </si>
  <si>
    <t>Guangba Yu; Genting Mai; Rui Wang; Ruipeng Li; Pengfei Chen; Long Pan; Ruijie Xu</t>
  </si>
  <si>
    <t>Alert triage &amp; correlation</t>
  </si>
  <si>
    <t>2601.14912</t>
  </si>
  <si>
    <t>ConceptRM: The Quest to Mitigate Alert Fatigue through Consensus-Based Purity-Driven Data Cleaning for Reflection Modelling</t>
  </si>
  <si>
    <t>Yongda Yu; Lei Zhang; Xinxin Guo; Minghui Yu; Zhengqi Zhuang; Guoping Rong; Haifeng Shen; Zhengfeng Li</t>
  </si>
  <si>
    <t>2602.20166</t>
  </si>
  <si>
    <t>Cybersecurity Detection Classification with Reasoning-enabled Language Models</t>
  </si>
  <si>
    <t>Amol Khanna; Manu Nandan; Cristian Viorel Popa; Joan Pujol-Roig; Diana Bolocan; Laura Vasilie; Alexandru Apostu; Chase Helwig</t>
  </si>
  <si>
    <t>2607.28460</t>
  </si>
  <si>
    <t>Understanding npm Developers' Practices, Challenges, and Recommendations for Secure Package Development</t>
  </si>
  <si>
    <t>Anthony Peruma; Truman Choy; Gerald Lee; Italo De Oliveira Santos</t>
  </si>
  <si>
    <t>10.1145/3794860.3794908</t>
  </si>
  <si>
    <t>2601.20240</t>
  </si>
  <si>
    <t>VAGNet: Vision-based Accident Anticipation with Global Features</t>
  </si>
  <si>
    <t>Vipooshan Vipulananthan; Charith D. Chitraranjan</t>
  </si>
  <si>
    <t>IEEE Open Journal of Vehicular Technology, vol. 7, pp. 1873-1883, 2026</t>
  </si>
  <si>
    <t>10.1109/ojvt.2026.3704953</t>
  </si>
  <si>
    <t>2604.09305</t>
  </si>
  <si>
    <t>vEcho: A Paradigm Shift from Vulnerability Verification to Proactive Discovery with Large Language Models</t>
  </si>
  <si>
    <t>Mingcheng Jiang; Jiancheng Huang; Jiangfei Wang; Zhengzhu Xie; Nan Fang; Guang Cheng; Xiaoyan Hu; Hua Wu</t>
  </si>
  <si>
    <t>2603.01154</t>
  </si>
  <si>
    <t>A Large-Scale Collection Of (Non-)Actionable Static Code Analysis Reports</t>
  </si>
  <si>
    <t>Dávid Kószó; Tamás Aladics; Rudolf Ferenc; Péter Hegedűs</t>
  </si>
  <si>
    <t>2511.10323</t>
  </si>
  <si>
    <t>Triage in Software Engineering: A Systematic Review of Research and Practice</t>
  </si>
  <si>
    <t>Yongxin Zhao; Shenglin Zhang; Yujia Wu; Yuxin Sun; Yongqian Sun; Dan Pei; Chetan Bansal; Minghua Ma</t>
  </si>
  <si>
    <t>2511.08607</t>
  </si>
  <si>
    <t>When not to help: planning for lasting human-AI collaboration</t>
  </si>
  <si>
    <t>Mark Steyvers; Lukas Mayer</t>
  </si>
  <si>
    <t>2508.01837</t>
  </si>
  <si>
    <t>FaultProfIT: Hierarchical Fault Profiling of Incident Tickets in Large-scale Cloud Systems</t>
  </si>
  <si>
    <t>Junjie Huang; Jinyang Liu; Zhuangbin Chen; Zhihan Jiang</t>
  </si>
  <si>
    <t>11.0</t>
  </si>
  <si>
    <t>10.1145/3639477.3639754</t>
  </si>
  <si>
    <t>AI-Assisted Security Alert Data Analysis with Imbalanced Learning Methods</t>
  </si>
  <si>
    <t>Samuel Ndichu; Tao Ban; Takeshi Takahashi; Daisuke Inoue</t>
  </si>
  <si>
    <t>Applied Sciences</t>
  </si>
  <si>
    <t>19.0</t>
  </si>
  <si>
    <t>10.3390/app13031977</t>
  </si>
  <si>
    <t>W4319080536</t>
  </si>
  <si>
    <t>Breaking Alert Fatigue: AI-Assisted SIEM Framework for Effective Incident Response</t>
  </si>
  <si>
    <t>Tao Ban; Takeshi Takahashi; Samuel Ndichu; Daisuke Inoue</t>
  </si>
  <si>
    <t>52.0</t>
  </si>
  <si>
    <t>10.3390/app13116610</t>
  </si>
  <si>
    <t>W4381569470</t>
  </si>
  <si>
    <t>That Escalated Quickly: An ML Framework for Alert Prioritization</t>
  </si>
  <si>
    <t>Ben Gelman; Salma Taoufiq; Tamás Vörös; Konstantin Berlin</t>
  </si>
  <si>
    <t>2302.06648</t>
  </si>
  <si>
    <t>Twin Graph-based Anomaly Detection via Attentive Multi-Modal Learning for Microservice System</t>
  </si>
  <si>
    <t>Jun Huang; Yang Yang; Hang Yu; Jianguo Li; Xiao Zheng</t>
  </si>
  <si>
    <t>2310.04701</t>
  </si>
  <si>
    <t>Wind Turbine Fault Detection Using Highly Imbalanced Real SCADA Data</t>
  </si>
  <si>
    <t>Cristian Velandia; Yolanda Vidal; Francesc Pozo</t>
  </si>
  <si>
    <t>Energies</t>
  </si>
  <si>
    <t>53.0</t>
  </si>
  <si>
    <t>10.3390/en14061728</t>
  </si>
  <si>
    <t>W3137151386</t>
  </si>
  <si>
    <t>Zero-shot learning approach to adaptive Cybersecurity using Explainable AI</t>
  </si>
  <si>
    <t>Dattaraj Rao; Shraddha Mane</t>
  </si>
  <si>
    <t>2106.14647</t>
  </si>
  <si>
    <t>A Snooze-less User-Aware Notification System for Proactive Conversational Agents</t>
  </si>
  <si>
    <t>Yara Rizk; Vatche Isahagian; Merve Unuvar; Yasaman Khazaeni</t>
  </si>
  <si>
    <t>2003.02097</t>
  </si>
  <si>
    <t>The Energy Blind Spot: NVIDIA's Flagship Edge AI Hardware Cannot Support Process-Level Energy Attribution</t>
  </si>
  <si>
    <t>Deepak Panigrahy; Aakash Tyagi</t>
  </si>
  <si>
    <t>Automated remediation</t>
  </si>
  <si>
    <t>2605.27599</t>
  </si>
  <si>
    <t>Towards Resiliency in Large Language Model Serving with KevlarFlow</t>
  </si>
  <si>
    <t>Shangshu Qian; Kipling Liu; P. C. Sruthi; Lin Tan; Yongle Zhang</t>
  </si>
  <si>
    <t>2601.22438</t>
  </si>
  <si>
    <t>When AI Fails, What Works? A Data-Driven Taxonomy of Real-World AI Risk Mitigation Strategies</t>
  </si>
  <si>
    <t>Evgenija Popchanovska; Ana Gjorgjevikj; Maryan Rizinski; Lubomir Chitkushev; Irena Vodenska; Dimitar Trajanov</t>
  </si>
  <si>
    <t>2603.04259</t>
  </si>
  <si>
    <t>A Threshold-Triggered Deep Q-Network-Based Framework for Self-Healing in Autonomic Software-Defined IIoT-Edge Networks</t>
  </si>
  <si>
    <t>Agrippina Mwangi; León Navarro-Hilfiker; Lukasz Brewka; Mikkel Gryning; Elena Fumagalli; Madeleine Gibescu</t>
  </si>
  <si>
    <t>10.1109/tnsm.2025.3647853</t>
  </si>
  <si>
    <t>2512.14297</t>
  </si>
  <si>
    <t>Thermographic and cognitive assessment of fatigue in vessel traffic service operators: a socio-technical approach</t>
  </si>
  <si>
    <t>Fernando Crestelo Moreno; John González; Juan Suardíaz Muro; R. López-Alonso</t>
  </si>
  <si>
    <t>Cognition Technology &amp; Work</t>
  </si>
  <si>
    <t>6.0</t>
  </si>
  <si>
    <t>10.1007/s10111-025-00804-x</t>
  </si>
  <si>
    <t>W4411424618</t>
  </si>
  <si>
    <t>Toward Robust Security Orchestration and Automated Response in Security Operations Centers with a Hyper-Automation Approach Using Agentic Artificial Intelligence</t>
  </si>
  <si>
    <t>Ismail Ismail; Rahmat Kurnia; Zilmas Arjuna Brata; Ghitha Afina Nelistiani; Shinwook Heo; Hyeongon Kim; Hyeongon Kim; Howon Kim; Howon Kim</t>
  </si>
  <si>
    <t>Information</t>
  </si>
  <si>
    <t>31.0</t>
  </si>
  <si>
    <t>10.3390/info16050365</t>
  </si>
  <si>
    <t>W4409965657</t>
  </si>
  <si>
    <t>Understanding Practitioners Perspectives on Monitoring Machine Learning Systems</t>
  </si>
  <si>
    <t>Hira Naveed; John Grundy; Chetan Arora; Hourieh Khalajzadeh; Omar Haggag</t>
  </si>
  <si>
    <t>2509.25195</t>
  </si>
  <si>
    <t>When, Where, and What? A Novel Benchmark for Accident Anticipation and Localization with Large Language Models</t>
  </si>
  <si>
    <t>Haicheng Liao; Yongkang Li; Chengyue Wang; Yanchen Guan; KaHou Tam; Chunlin Tian; Li Li; Chengzhong Xu</t>
  </si>
  <si>
    <t>2407.16277</t>
  </si>
  <si>
    <t>Transparent Automated Advice to Mitigate the Impact of Variation in Automation Reliability</t>
  </si>
  <si>
    <t>Isabella Gegoff; Monica Tatasciore; Vanessa K. Bowden; Jason S. McCarley; Shayne Loft</t>
  </si>
  <si>
    <t>Human Factors The Journal of the Human Factors and Ergonomics Society</t>
  </si>
  <si>
    <t>24.0</t>
  </si>
  <si>
    <t>10.1177/00187208231196738</t>
  </si>
  <si>
    <t>W4386209057</t>
  </si>
  <si>
    <t>Unicron: Economizing Self-Healing LLM Training at Scale</t>
  </si>
  <si>
    <t>Tao He; Xue Li; Zhibin Wang; Kun Qian; Jing-Bo Xu; Wenyuan Yu; Jingren Zhou</t>
  </si>
  <si>
    <t>arXiv (Cornell University)</t>
  </si>
  <si>
    <t>5.0</t>
  </si>
  <si>
    <t>10.48550/arxiv.2401.00134</t>
  </si>
  <si>
    <t>W4390529129</t>
  </si>
  <si>
    <t>Towards Self-Adaptive Peer-to-Peer Monitoring for Fog Environments</t>
  </si>
  <si>
    <t>Vera Colombo; Alessandro Tundo; Michele Ciavotta; Leonardo Mariani</t>
  </si>
  <si>
    <t>10.1145/3524844.3528055</t>
  </si>
  <si>
    <t>2205.04142</t>
  </si>
  <si>
    <t>Using fNIRS to Verify Trust in Highly Automated Driving</t>
  </si>
  <si>
    <t>Jaume Perelló-March; Christopher Burns; Roger Woodman; Mark T. Elliott; Stewart Birrell</t>
  </si>
  <si>
    <t>IEEE Transactions on Intelligent Transportation Systems</t>
  </si>
  <si>
    <t>33.0</t>
  </si>
  <si>
    <t>10.1109/tits.2022.3211089</t>
  </si>
  <si>
    <t>W4312966716</t>
  </si>
  <si>
    <t>Zero Day Threat Detection Using Graph and Flow Based Security Telemetry</t>
  </si>
  <si>
    <t>Christopher Redino; Dhruv Nandakumar; Robert Schiller; Kevin Choi; Abdul Rahman; Edward Bowen; Matthew Weeks; Aaron Shaha</t>
  </si>
  <si>
    <t>2205.02298</t>
  </si>
  <si>
    <t>TELESTO: A Graph Neural Network Model for Anomaly Classification in Cloud Services</t>
  </si>
  <si>
    <t>Dominik Scheinert; Alexander Acker</t>
  </si>
  <si>
    <t>Springer ICSOC LNCS 12632 (2020) 214-227</t>
  </si>
  <si>
    <t>10.1007/978-3-030-76352-7_23</t>
  </si>
  <si>
    <t>2102.12877</t>
  </si>
  <si>
    <t>A Decentralised Self-Healing Approach for Network Topology Maintenance</t>
  </si>
  <si>
    <t>Arles Rodríguez; Jonatan Gómez; Ada Diaconescu</t>
  </si>
  <si>
    <t>Autonomous Agents and Multi-Agent Systems, 35(1), 6 (2020)</t>
  </si>
  <si>
    <t>10.1007/s10458-020-09486-3</t>
  </si>
  <si>
    <t>2010.11146</t>
  </si>
  <si>
    <t>The Challenges of Leveraging Threat Intelligence to Stop Data Breaches</t>
  </si>
  <si>
    <t>Amani S. Ibrahim; Dhananjay Thiruvady; Jean-Guy Schneider; Mohamed Abdelrazek</t>
  </si>
  <si>
    <t>Frontiers in Computer Science</t>
  </si>
  <si>
    <t>62.0</t>
  </si>
  <si>
    <t>10.3389/fcomp.2020.00036</t>
  </si>
  <si>
    <t>W3081936891</t>
  </si>
  <si>
    <t>Variational LSTM Enhanced Anomaly Detection for Industrial Big Data</t>
  </si>
  <si>
    <t>Xiaokang Zhou; Yiyong Hu; Wei Liang; Jianhua Ma; Qun Jin</t>
  </si>
  <si>
    <t>IEEE Transactions on Industrial Informatics</t>
  </si>
  <si>
    <t>401.0</t>
  </si>
  <si>
    <t>10.1109/tii.2020.3022432</t>
  </si>
  <si>
    <t>W3086419524</t>
  </si>
  <si>
    <t>The Dynamics of Software Composition Analysis</t>
  </si>
  <si>
    <t>Darius Foo; Jason Yeo; Hao Xiao; Asankhaya Sharma</t>
  </si>
  <si>
    <t>1909.00973</t>
  </si>
  <si>
    <t>Deepchecks: Evaluating Retrieval-Augmented Generation (RAG)</t>
  </si>
  <si>
    <t>Assaf Gerner; Netta Madvil; Nadav Barak; Alex Zaikman; Jonatan Liberman; Liron Hamra; Rotem Brazilay; Shay Tsadok</t>
  </si>
  <si>
    <t>Benchmarks &amp; evaluation</t>
  </si>
  <si>
    <t>2605.14488</t>
  </si>
  <si>
    <t>TelcoAgent-Bench: A Multilingual Benchmark for Telecom AI Agents</t>
  </si>
  <si>
    <t>Lina Bariah; Brahim Mefgouda; Farbod Tavakkoli; Enrique Molero; Louis Powell; Merouane Debbah</t>
  </si>
  <si>
    <t>2604.06209</t>
  </si>
  <si>
    <t>Towards Near-Real-Time Telemetry-Aware Routing with Neural Routing Algorithms</t>
  </si>
  <si>
    <t>Andreas Boltres; Niklas Freymuth; Benjamin Schichtholz; Michael König; Gerhard Neumann</t>
  </si>
  <si>
    <t>2604.02927</t>
  </si>
  <si>
    <t>Verified Tool Calls Improve LLM Agent Reliability Under Non-Atomic Failures</t>
  </si>
  <si>
    <t>Isham Kalappurackal Mansoor; Abhishek Phadke; Pratip Rana</t>
  </si>
  <si>
    <t>2608.02645</t>
  </si>
  <si>
    <t>When Retrieval Fails Before It Begins: Structurally Indirect Prerequisite Eviction as a Retention Failure in Agentic Memory</t>
  </si>
  <si>
    <t>Minkyu Song</t>
  </si>
  <si>
    <t>2608.20400</t>
  </si>
  <si>
    <t>WirelessOpsAgent: A Benchmark and Agent Design for Action Assurance in Wireless Networks</t>
  </si>
  <si>
    <t>Zijian Lu; Yiping Zuo; Hao Xu; Weicong Chen; Xin He; Jiajia Guo; Shi Jin</t>
  </si>
  <si>
    <t>2608.08277</t>
  </si>
  <si>
    <t>AIOpsLab: A Holistic Framework to Evaluate AI Agents for Enabling Autonomous Clouds</t>
  </si>
  <si>
    <t>Yinfang Chen; Manish Shetty; Gagan Somashekar; Minghua Ma; Yogesh Simmhan; Jonathan Mace; Chetan Bansal; Rujia Wang</t>
  </si>
  <si>
    <t>2501.06706</t>
  </si>
  <si>
    <t>A Network Arena for Benchmarking AI Agents on Network Troubleshooting</t>
  </si>
  <si>
    <t>Zhihao Wang; Alessandro Cornacchia; Alessio Sacco; Franco Galante; Marco Canini; Dingde Jiang</t>
  </si>
  <si>
    <t>2512.16381</t>
  </si>
  <si>
    <t>DFIR-Metric: A Benchmark Dataset for Evaluating Large Language Models in Digital Forensics and Incident Response</t>
  </si>
  <si>
    <t>Bilel Cherif; Tamas Bisztray; Richard A. Dubniczky; Aaesha Aldahmani; Saeed Alshehhi; Norbert Tihanyi</t>
  </si>
  <si>
    <t>2505.19973</t>
  </si>
  <si>
    <t>VAGEN: Reinforcing World Model Reasoning for Multi-Turn VLM Agents</t>
  </si>
  <si>
    <t>Kangrui Wang; Pingyue Zhang; Zihan Wang; Yaning Gao; Linjie Li; Qineng Wang; Hanyang Chen; Chi Wan</t>
  </si>
  <si>
    <t>2510.16907</t>
  </si>
  <si>
    <t>Multi-Agent Coordination Strategies vs. Retrieval-Augmented Generation in LLMs: A Comparative Evaluation</t>
  </si>
  <si>
    <t>Irina Radeva; Иван Попчев; Lyubka Doukovska; Miroslava Dimitrova</t>
  </si>
  <si>
    <t>Electronics</t>
  </si>
  <si>
    <t>10.3390/electronics14244883</t>
  </si>
  <si>
    <t>W4417244517</t>
  </si>
  <si>
    <t>Retail Resilience Engine: An Agentic AI Framework for Building Reliable Retail Systems With Test-Driven Development Approach</t>
  </si>
  <si>
    <t>Lalit Narayan Mishra; Biswaranjan Senapati</t>
  </si>
  <si>
    <t>34.0</t>
  </si>
  <si>
    <t>10.1109/ACCESS.2025.3552592</t>
  </si>
  <si>
    <t>W4408564575</t>
  </si>
  <si>
    <t>RCAEval: A Benchmark for Root Cause Analysis of Microservice Systems with Telemetry Data</t>
  </si>
  <si>
    <t>Luan Pham; Hongyu Zhang; Huong Ha; Flora D. Salim</t>
  </si>
  <si>
    <t>20.0</t>
  </si>
  <si>
    <t>10.1145/3701716.3715290</t>
  </si>
  <si>
    <t>OpsEval: A Comprehensive Benchmark Suite for Evaluating Large Language Models’ Capability in IT Operations Domain</t>
  </si>
  <si>
    <t>Yuhe Liu; Changhua Pei; Longlong Xu; Bohan Chen</t>
  </si>
  <si>
    <t>10.1145/3696630.3728572</t>
  </si>
  <si>
    <t>ITBench: Evaluating AI Agents across Diverse Real-World IT Automation Tasks</t>
  </si>
  <si>
    <t>Saurabh Jha; Rohan Arora; Yuji Watanabe; Takumi Yanagawa</t>
  </si>
  <si>
    <t>2502.05352</t>
  </si>
  <si>
    <t>TinyAgent: Function Calling at the Edge</t>
  </si>
  <si>
    <t>Lutfi Eren Erdogan; Nicholas Lee; Siddharth Jha; Sehoon Kim; Ryan Tabrizi; Suhong Moon; Coleman Hooper; Gopala Anumanchipalli</t>
  </si>
  <si>
    <t>2409.00608</t>
  </si>
  <si>
    <t>Towards Automation of Human Stage of Decay Identification: An Artificial Intelligence Approach</t>
  </si>
  <si>
    <t>Anna-Maria Nau; Phillip Ditto; Dawnie Wolfe Steadman; Audris Mockus</t>
  </si>
  <si>
    <t>2408.10414</t>
  </si>
  <si>
    <t>Availability analysis of redundant and replicated cloud services with Bayesian networks</t>
  </si>
  <si>
    <t>Otto Bibartiu; Frank Dürr; Kurt Rothermel; Beate Ottenwälder; Andreas Grau</t>
  </si>
  <si>
    <t>Quality and Reliability Engineering International</t>
  </si>
  <si>
    <t>10.1002/qre.3414</t>
  </si>
  <si>
    <t>W4385241681</t>
  </si>
  <si>
    <t>The Chatbot Usability Scale: the Design and Pilot of a Usability Scale for Interaction with AI-Based Conversational Agents</t>
  </si>
  <si>
    <t>Simone Borsci; Alessio Malizia; Martin Schmettow; Frank van der Velde; Gunay Tariverdiyeva; Divyaa Balaji; Alan Chamberlain</t>
  </si>
  <si>
    <t>Personal and Ubiquitous Computing</t>
  </si>
  <si>
    <t>233.0</t>
  </si>
  <si>
    <t>10.1007/s00779-021-01582-9</t>
  </si>
  <si>
    <t>W3187911027</t>
  </si>
  <si>
    <t>The Impact of Explanations on Layperson Trust in Artificial Intelligence–Driven Symptom Checker Apps: Experimental Study</t>
  </si>
  <si>
    <t>Claire Woodcock; Brent Mittelstadt; Dan Busbridge; Grant Blank</t>
  </si>
  <si>
    <t>Journal of Medical Internet Research</t>
  </si>
  <si>
    <t>50.0</t>
  </si>
  <si>
    <t>10.2196/29386</t>
  </si>
  <si>
    <t>W3210874941</t>
  </si>
  <si>
    <t>Towards intelligent incident management: why we need it and how we make it</t>
  </si>
  <si>
    <t>Zhuangbin Chen; Yu Kang; Liqun Li; Xu Zhang</t>
  </si>
  <si>
    <t>91.0</t>
  </si>
  <si>
    <t>10.1145/3368089.3417055</t>
  </si>
  <si>
    <t>Tools and Benchmarks for Automated Log Parsing</t>
  </si>
  <si>
    <t>Jieming Zhu; Shilin He; Jinyang Liu; Pinjia He; Qi Xie; Zibin Zheng; Michael R. Lyu</t>
  </si>
  <si>
    <t>conference-paper</t>
  </si>
  <si>
    <t>538.0</t>
  </si>
  <si>
    <t>10.1109/icse-seip.2019.00021</t>
  </si>
  <si>
    <t>W2963999143</t>
  </si>
  <si>
    <t>CCL-D: A High-Precision Diagnostic System for Slow and Hang Anomalies in Large-Scale Model Training</t>
  </si>
  <si>
    <t>Yida Gu; Fakang Wang; Jianhao Fu; Zhenhang Sun; Qianyu Zhang; Hairui Zhao; Xingchen Liu; Yang Tian</t>
  </si>
  <si>
    <t>Detection (classical ML)</t>
  </si>
  <si>
    <t>10.1145/3774934.3786429</t>
  </si>
  <si>
    <t>2605.04478</t>
  </si>
  <si>
    <t>CLAD: Efficient Log Anomaly Detection Directly on Compressed Representations</t>
  </si>
  <si>
    <t>Benzhao Tang; Shiyu Yang</t>
  </si>
  <si>
    <t>2604.13024</t>
  </si>
  <si>
    <t>ContraLog: Log File Anomaly Detection with Contrastive Learning and Masked Language Modeling</t>
  </si>
  <si>
    <t>Simon Dietz; Kai Klede; An Nguyen; Bjoern M Eskofier</t>
  </si>
  <si>
    <t>2602.03678</t>
  </si>
  <si>
    <t>Using AI to Monitor AI: Automated Operations Through Log-Driven Intelligence</t>
  </si>
  <si>
    <t>Chen Qi; Xiaoying Qiao</t>
  </si>
  <si>
    <t>10.1109/icbase70763.2026.11619459</t>
  </si>
  <si>
    <t>W7171729227</t>
  </si>
  <si>
    <t>When GPUs Fail Quietly: Observability-Aware Early Warning Beyond Numeric Telemetry</t>
  </si>
  <si>
    <t>Michael Bidollahkhani; Freja Nordsiek; Julian M. Kunkel</t>
  </si>
  <si>
    <t>2603.28781</t>
  </si>
  <si>
    <t>A layered architecture for log analysis in complex IT systems</t>
  </si>
  <si>
    <t>Thorsten Wittkopp</t>
  </si>
  <si>
    <t>10.14279/depositonce-22012</t>
  </si>
  <si>
    <t>2509.08698</t>
  </si>
  <si>
    <t>A unified framework for detecting point and collective anomalies in operating system logs via collaborative transformers</t>
  </si>
  <si>
    <t>Mohammad Nasirzadeh; Jafar Tahmoresnezhad; Parviz Rashidi-Khazaee</t>
  </si>
  <si>
    <t>Scientific Reports 15, 45698 (2025)</t>
  </si>
  <si>
    <t>10.1038/s41598-025-27693-4</t>
  </si>
  <si>
    <t>2512.23380</t>
  </si>
  <si>
    <t>DBLoss: Decomposition-based Loss Function for Time Series Forecasting</t>
  </si>
  <si>
    <t>Xiangfei Qiu; Xingjian Wu; Hanyin Cheng; Xvyuan Liu; Chenjuan Guo; Jilin Hu; Bin Yang</t>
  </si>
  <si>
    <t>2510.23672</t>
  </si>
  <si>
    <t>Graph Neural AI with Temporal Dynamics for Comprehensive Anomaly Detection in Microservices</t>
  </si>
  <si>
    <t>Qingyuan Zhang; Ning Lyu; Le Liu; Yuxi Wang; Ziyu Cheng; Cancan Hua</t>
  </si>
  <si>
    <t>2511.03285</t>
  </si>
  <si>
    <t>The Agentic Regulator: Risks for AI in Finance and a Proposed Agent-based Framework for Governance</t>
  </si>
  <si>
    <t>Eren Kurshan; Tucker Balch; David Byrd</t>
  </si>
  <si>
    <t>2512.11933</t>
  </si>
  <si>
    <t>Unsupervised Anomaly Detection in Multivariate Time Series across Heterogeneous Domains</t>
  </si>
  <si>
    <t>Vincent Jacob; Yanlei Diao</t>
  </si>
  <si>
    <t>2503.23060</t>
  </si>
  <si>
    <t>Artificial Intelligence for Predictive Maintenance Applications: Key Components, Trustworthiness, and Future Trends</t>
  </si>
  <si>
    <t>Ayşegül Uçar; Mehmet Karaköse; Necim Kırımça</t>
  </si>
  <si>
    <t>396.0</t>
  </si>
  <si>
    <t>10.3390/app14020898</t>
  </si>
  <si>
    <t>W4391098453</t>
  </si>
  <si>
    <t>Cloud Network Anomaly Detection Using Machine and Deep Learning Techniques— Recent Research Advancements</t>
  </si>
  <si>
    <t>Amira Mahamat Abdallah; Aysha Saif Rashed Obaid Alkaabi; Ghaya Bark Nasser Douman Alameri; Saida Hafsa Rafique; Nura Shifa Musa; M. Thangavel</t>
  </si>
  <si>
    <t>78.0</t>
  </si>
  <si>
    <t>10.1109/access.2024.3390844</t>
  </si>
  <si>
    <t>W4394939094</t>
  </si>
  <si>
    <t>Cross-System Categorization of Abnormal Traces in Microservice-Based Systems via Meta-Learning</t>
  </si>
  <si>
    <t>Yuqing Wang; Mika V. Mäntylä; Serge Demeyer; Mutlu Beyazit; Joanna Kisaakye; Jesse Nyyssölä</t>
  </si>
  <si>
    <t>10.1145/3715742</t>
  </si>
  <si>
    <t>2403.18998</t>
  </si>
  <si>
    <t>Cross-System Software Log-based Anomaly Detection Using Meta-Learning</t>
  </si>
  <si>
    <t>Yuqing Wang; Mika V. Mäntylä; Jesse Nyyssölä; Ke Ping; Liqiang Wang</t>
  </si>
  <si>
    <t>2412.15445</t>
  </si>
  <si>
    <t>Deep Industrial Image Anomaly Detection: A Survey</t>
  </si>
  <si>
    <t>Jiaqi Liu; Guoyang Xie; Jinbao Wang; Shangnian Li; Chengjie Wang; Feng Zheng; Yaochu Jin</t>
  </si>
  <si>
    <t>Machine Intelligence Research</t>
  </si>
  <si>
    <t>389.0</t>
  </si>
  <si>
    <t>10.1007/s11633-023-1459-z</t>
  </si>
  <si>
    <t>W4390875033</t>
  </si>
  <si>
    <t>Deep Learning for Time Series Anomaly Detection: A Survey</t>
  </si>
  <si>
    <t>Zahra Zamanzadeh Darban; Geoffrey I. Webb; Shirui Pan; Charų C. Aggarwal; Mahsa Salehi</t>
  </si>
  <si>
    <t>ACM Computing Surveys</t>
  </si>
  <si>
    <t>506.0</t>
  </si>
  <si>
    <t>10.1145/3691338</t>
  </si>
  <si>
    <t>W4402056503</t>
  </si>
  <si>
    <t>Deep Learning or Classical Machine Learning? An Empirical Study on Log-Based Anomaly Detection</t>
  </si>
  <si>
    <t>Boxi Yu; Jiayi Yao; Qiuai Fu; Zhiqing Zhong; Haotian Xie; Y.C. Wu; Yuchi Ma; Pinjia He</t>
  </si>
  <si>
    <t>57.0</t>
  </si>
  <si>
    <t>10.1145/3597503.3623308</t>
  </si>
  <si>
    <t>W4391558391</t>
  </si>
  <si>
    <t>GraphSubDetector: Time Series Subsequence Anomaly Detection via Density-Aware Adaptive Graph Neural Network</t>
  </si>
  <si>
    <t>Weiqi Chen; Zhiqiang Zhou; Qingsong Wen; Liang Sun</t>
  </si>
  <si>
    <t>2411.17218</t>
  </si>
  <si>
    <t>Time to Retrain? Detecting Concept Drifts in Machine Learning Systems</t>
  </si>
  <si>
    <t>Tri Minh Triet Pham; Karthikeyan Premkumar; Mohamed Naili; Jinqiu Yang</t>
  </si>
  <si>
    <t>2410.09190</t>
  </si>
  <si>
    <t>WaitGPT: Monitoring and Steering Conversational LLM Agent in Data Analysis with On-the-Fly Code Visualization</t>
  </si>
  <si>
    <t>Liwenhan Xie; Chengbo Zheng; Haijun Xia; Huamin Qu; Zhutian Chen</t>
  </si>
  <si>
    <t>45.0</t>
  </si>
  <si>
    <t>10.1145/3654777.3676374</t>
  </si>
  <si>
    <t>W4403334501</t>
  </si>
  <si>
    <t>Data Drift Monitoring for Log Anomaly Detection Pipelines</t>
  </si>
  <si>
    <t>Dipak Wani; Samuel Ackerman; Eitan Farchi; Xiaotong Liu; Hau-wen Chang; Sarasi Lalithsena</t>
  </si>
  <si>
    <t>2310.14893</t>
  </si>
  <si>
    <t>Deep learning for anomaly detection in log data: A survey</t>
  </si>
  <si>
    <t>Max Landauer; Sebastian Onder; Florian Skopik; Markus Wurzenberger</t>
  </si>
  <si>
    <t>Machine Learning with Applications</t>
  </si>
  <si>
    <t>194.0</t>
  </si>
  <si>
    <t>10.1016/j.mlwa.2023.100470</t>
  </si>
  <si>
    <t>W4376288669</t>
  </si>
  <si>
    <t>Distributed system anomaly detection using deep learning‐based log analysis</t>
  </si>
  <si>
    <t>Pengfei Han; Huakang Li; Gang Xue; Chao Zhang</t>
  </si>
  <si>
    <t>Computational Intelligence</t>
  </si>
  <si>
    <t>12.0</t>
  </si>
  <si>
    <t>10.1111/coin.12573</t>
  </si>
  <si>
    <t>W4366768971</t>
  </si>
  <si>
    <t>From Corrective to Predictive Maintenance—A Review of Maintenance Approaches for the Power Industry</t>
  </si>
  <si>
    <t>Marek Molęda; Bożena Małysiak-Mrozek; Weiping Ding; Vaidy Sunderam; Dariusz Mrozek</t>
  </si>
  <si>
    <t>Sensors</t>
  </si>
  <si>
    <t>264.0</t>
  </si>
  <si>
    <t>10.3390/s23135970</t>
  </si>
  <si>
    <t>W4382402849</t>
  </si>
  <si>
    <t>GLAD: Content-aware Dynamic Graphs For Log Anomaly Detection</t>
  </si>
  <si>
    <t>Yufei Li; Yanchi Liu; Haoyu Wang; Zhengzhang Chen; Wei Cheng; Yuncong Chen; Wenchao Yu; Haifeng Chen</t>
  </si>
  <si>
    <t>2309.05953</t>
  </si>
  <si>
    <t>Graph Neural Networks based Log Anomaly Detection and Explanation</t>
  </si>
  <si>
    <t>Zhong Li; Jiayang Shi; Matthijs van Leeuwen</t>
  </si>
  <si>
    <t>2307.00527</t>
  </si>
  <si>
    <t>Triple:The Interpretable Deep Learning Anomaly Detection Framework based on Trace-Metric-Log of Microservice</t>
  </si>
  <si>
    <t>Rui Ren; Yan Wang; Fengrui Liu; Zhenyu Li; Gaogang Xie</t>
  </si>
  <si>
    <t>14.0</t>
  </si>
  <si>
    <t>10.1109/iwqos57198.2023.10188773</t>
  </si>
  <si>
    <t>W4385302163</t>
  </si>
  <si>
    <t>Robust Multimodal Failure Detection for Microservice Systems</t>
  </si>
  <si>
    <t>Chenyu Zhao; Minghua Ma; Zhenyu Zhong; Shenglin Zhang</t>
  </si>
  <si>
    <t>63.0</t>
  </si>
  <si>
    <t>10.1145/3580305.3599902</t>
  </si>
  <si>
    <t>AIOps Architecture in Data Center Site Infrastructure Monitoring</t>
  </si>
  <si>
    <t>Wei Shan Dong</t>
  </si>
  <si>
    <t>Computational Intelligence and Neuroscience</t>
  </si>
  <si>
    <t>10.1155/2022/1988990</t>
  </si>
  <si>
    <t>W4286009594</t>
  </si>
  <si>
    <t>A Survey on Observability of Distributed Edge &amp; Container-Based Microservices</t>
  </si>
  <si>
    <t>Muhammad Usman; Simone Ferlin; Anna Brunström; Javid Taheri</t>
  </si>
  <si>
    <t>115.0</t>
  </si>
  <si>
    <t>10.1109/access.2022.3193102</t>
  </si>
  <si>
    <t>W4286544722</t>
  </si>
  <si>
    <t>Design and Development of RNN Anomaly Detection Model for IoT Networks</t>
  </si>
  <si>
    <t>Imtiaz Ullah; Qusay H. Mahmoud</t>
  </si>
  <si>
    <t>263.0</t>
  </si>
  <si>
    <t>10.1109/access.2022.3176317</t>
  </si>
  <si>
    <t>W4285106051</t>
  </si>
  <si>
    <t>EADN: An Efficient Deep Learning Model for Anomaly Detection in Videos</t>
  </si>
  <si>
    <t>Sareer Ul Amin; Mohib Ullah; Muhammad Sajjad; Faouzi Alaya Cheikh; Mohammad Hijji; Abdulrahman Hijji; Khan Muhammad</t>
  </si>
  <si>
    <t>Mathematics</t>
  </si>
  <si>
    <t>142.0</t>
  </si>
  <si>
    <t>10.3390/math10091555</t>
  </si>
  <si>
    <t>W4229008034</t>
  </si>
  <si>
    <t>Edge-IIoTset: A New Comprehensive Realistic Cyber Security Dataset of IoT and IIoT Applications for Centralized and Federated Learning</t>
  </si>
  <si>
    <t>Mohamed Amine Ferrag; Othmane Friha; Djallel Hamouda; Λέανδρος Μαγλαράς; Helge Janicke</t>
  </si>
  <si>
    <t>1060.0</t>
  </si>
  <si>
    <t>10.1109/access.2022.3165809</t>
  </si>
  <si>
    <t>W4226319939</t>
  </si>
  <si>
    <t>From knowledge-based to big data analytic model: a novel IoT and machine learning based decision support system for predictive maintenance in Industry 4.0</t>
  </si>
  <si>
    <t>Riccardo Rosati; Luca Romeo; Gianalberto Cecchini; F. Tonetto; Paolo Viti; Adriano Mancini; Emanuele Frontoni</t>
  </si>
  <si>
    <t>Journal of Intelligent Manufacturing</t>
  </si>
  <si>
    <t>247.0</t>
  </si>
  <si>
    <t>10.1007/s10845-022-01960-x</t>
  </si>
  <si>
    <t>W4281393809</t>
  </si>
  <si>
    <t>Towards Synoptic Water Monitoring Systems: A Review of AI Methods for Automating Water Body Detection and Water Quality Monitoring Using Remote Sensing</t>
  </si>
  <si>
    <t>Liping Yang; Joshua Driscol; Sarigai Sarigai; Qiusheng Wu; Christopher D. Lippitt; Melinda Morgan</t>
  </si>
  <si>
    <t>124.0</t>
  </si>
  <si>
    <t>10.3390/s22062416</t>
  </si>
  <si>
    <t>W4221087595</t>
  </si>
  <si>
    <t>A Data-Mining Approach for Wind Turbine Fault Detection Based on SCADA Data Analysis Using Artificial Neural Networks</t>
  </si>
  <si>
    <t>Annalisa Santolamazza; Daniele Dadi; Vito Introna</t>
  </si>
  <si>
    <t>80.0</t>
  </si>
  <si>
    <t>10.3390/en14071845</t>
  </si>
  <si>
    <t>W3146685335</t>
  </si>
  <si>
    <t>A new distributed anomaly detection approach for log IDS management based on deep learning</t>
  </si>
  <si>
    <t>Murat Koca; Muhammed Ali Aydın; Ahmet Sertbaş; Abdül Halim Zaim</t>
  </si>
  <si>
    <t>TURKISH JOURNAL OF ELECTRICAL ENGINEERING &amp; COMPUTER SCIENCES</t>
  </si>
  <si>
    <t>17.0</t>
  </si>
  <si>
    <t>10.3906/elk-2102-89</t>
  </si>
  <si>
    <t>W3203921286</t>
  </si>
  <si>
    <t>A Review of Machine Learning and Deep Learning Techniques for Anomaly Detection in IoT Data</t>
  </si>
  <si>
    <t>Redhwan Al-amri; Raja Kumar Murugesan; Mustafa Man; Alaa Fareed; Mohammed A. Al‐Sharafi; Ammar Ahmed Alkahtani</t>
  </si>
  <si>
    <t>202.0</t>
  </si>
  <si>
    <t>10.3390/app11125320</t>
  </si>
  <si>
    <t>W3168992578</t>
  </si>
  <si>
    <t>CloudShield: Real-time Anomaly Detection in the Cloud</t>
  </si>
  <si>
    <t>Zecheng He; Ruby B. Lee</t>
  </si>
  <si>
    <t>2108.08977</t>
  </si>
  <si>
    <t>Deep Learning for Anomaly Detection in Time-Series Data: Review, Analysis, and Guidelines</t>
  </si>
  <si>
    <t>Kukjin Choi; Jihun Yi; Changhwa Park; Sungroh Yoon</t>
  </si>
  <si>
    <t>576.0</t>
  </si>
  <si>
    <t>10.1109/access.2021.3107975</t>
  </si>
  <si>
    <t>W3198381997</t>
  </si>
  <si>
    <t>Detecting Anomalies in Software Execution Logs with Siamese Network</t>
  </si>
  <si>
    <t>Shayan Hashemi; Mika Mäntylä</t>
  </si>
  <si>
    <t>10.1007/s10515-022-00365-7</t>
  </si>
  <si>
    <t>2102.01452</t>
  </si>
  <si>
    <t>Detecting Log Anomalies with Multi-Head Attention (LAMA)</t>
  </si>
  <si>
    <t>Yicheng Guo; Yujin Wen; Congwei Jiang; Yixin Lian; Yi Wan</t>
  </si>
  <si>
    <t>2101.02392</t>
  </si>
  <si>
    <t>DRAM Failure Prediction in AIOps: Empirical Evaluation, Challenges and Opportunities</t>
  </si>
  <si>
    <t>Zhiyue Wu; Hongzuo Xu; Guansong Pang; Fengyuan Yu; Yijie Wang; Songlei Jian; Yongjun Wang</t>
  </si>
  <si>
    <t>2104.15052</t>
  </si>
  <si>
    <t>The Fishyscapes Benchmark: Measuring Blind Spots in Semantic Segmentation</t>
  </si>
  <si>
    <t>Hermann Blum; Paul-Edouard Sarlin; Juan Nieto; Roland Siegwart; César Cadena</t>
  </si>
  <si>
    <t>International Journal of Computer Vision</t>
  </si>
  <si>
    <t>152.0</t>
  </si>
  <si>
    <t>10.1007/s11263-021-01511-6</t>
  </si>
  <si>
    <t>W2933610837</t>
  </si>
  <si>
    <t>The MVTec Anomaly Detection Dataset: A Comprehensive Real-World Dataset for Unsupervised Anomaly Detection</t>
  </si>
  <si>
    <t>Paul Bergmann; Kilian Batzner; Michael Fauser; David Sattlegger; Carsten Steger</t>
  </si>
  <si>
    <t>555.0</t>
  </si>
  <si>
    <t>10.1007/s11263-020-01400-4</t>
  </si>
  <si>
    <t>W3118600296</t>
  </si>
  <si>
    <t>Towards AIOps in Edge Computing Environments</t>
  </si>
  <si>
    <t>Soeren Becker; Florian Schmidt; Anton Gulenko; Alexander Acker; Odej Kao</t>
  </si>
  <si>
    <t>10.1109/bigdata50022.2020.9378038</t>
  </si>
  <si>
    <t>2102.09001</t>
  </si>
  <si>
    <t>Anomaly-Based Intrusion Detection From Network Flow Features Using Variational Autoencoder</t>
  </si>
  <si>
    <t>Sultan Zavrak; Murat İskefiyeli</t>
  </si>
  <si>
    <t>321.0</t>
  </si>
  <si>
    <t>10.1109/access.2020.3001350</t>
  </si>
  <si>
    <t>W3035311645</t>
  </si>
  <si>
    <t>Anomaly Detection in Operating System Logs with Deep Learning-Based Sentiment Analysis</t>
  </si>
  <si>
    <t>Hudan Studiawan; Ferdous Sohel; Christian Payne</t>
  </si>
  <si>
    <t>IEEE Transactions on Dependable and Secure Computing</t>
  </si>
  <si>
    <t>68.0</t>
  </si>
  <si>
    <t>10.1109/tdsc.2020.3037903</t>
  </si>
  <si>
    <t>W3099104041</t>
  </si>
  <si>
    <t>Anomaly detection with density estimation</t>
  </si>
  <si>
    <t>Benjamin Nachman; David Shih</t>
  </si>
  <si>
    <t>Physical review. D/Physical review. D.</t>
  </si>
  <si>
    <t>315.0</t>
  </si>
  <si>
    <t>10.1103/physrevd.101.075042</t>
  </si>
  <si>
    <t>W2998758436</t>
  </si>
  <si>
    <t>An Unsupervised Deep Learning Model for Early Network Traffic Anomaly Detection</t>
  </si>
  <si>
    <t>Ren‐Hung Hwang; Min-Chun Peng; Chien‐Wei Huang; Po‐Ching Lin; Van-Linh Nguyen</t>
  </si>
  <si>
    <t>278.0</t>
  </si>
  <si>
    <t>10.1109/access.2020.2973023</t>
  </si>
  <si>
    <t>W3005641848</t>
  </si>
  <si>
    <t>Task Failure Prediction in Cloud Data Centers Using Deep Learning</t>
  </si>
  <si>
    <t>Jiechao Gao; Haoyu Wang; Haiying Shen</t>
  </si>
  <si>
    <t>IEEE Transactions on Services Computing</t>
  </si>
  <si>
    <t>217.0</t>
  </si>
  <si>
    <t>10.1109/tsc.2020.2993728</t>
  </si>
  <si>
    <t>W3025035827</t>
  </si>
  <si>
    <t>Time Series Data Augmentation for Deep Learning: A Survey</t>
  </si>
  <si>
    <t>Qingsong Wen; Liang Sun; Fan Yang; Xiaomin Song; Jingkun Gao; Xue Wang; Huan Xu</t>
  </si>
  <si>
    <t>10.24963/ijcai.2021/631</t>
  </si>
  <si>
    <t>2002.12478</t>
  </si>
  <si>
    <t>WAUC: A Multi-Modal Database for Mental Workload Assessment Under Physical Activity</t>
  </si>
  <si>
    <t>Isabela Albuquerque; Abhishek Tiwari; Mark Parent; Raymundo Cassani; Jean‐François Gagnon; Daniel Lafond; Sébastien Tremblay; Tiago H. Falk</t>
  </si>
  <si>
    <t>Frontiers in Neuroscience</t>
  </si>
  <si>
    <t>71.0</t>
  </si>
  <si>
    <t>10.3389/fnins.2020.549524</t>
  </si>
  <si>
    <t>W3110225343</t>
  </si>
  <si>
    <t>A Hybrid Deep Learning-Based Model for Anomaly Detection in Cloud Datacenter Networks</t>
  </si>
  <si>
    <t>Sahil Garg; Kuljeet Kaur; Neeraj Kumar; Georges Kaddoum; Albert Y. Zomaya; Rajiv Ranjan</t>
  </si>
  <si>
    <t>IEEE Transactions on Network and Service Management</t>
  </si>
  <si>
    <t>286.0</t>
  </si>
  <si>
    <t>10.1109/tnsm.2019.2927886</t>
  </si>
  <si>
    <t>W2959716986</t>
  </si>
  <si>
    <t>Unsupervised Anomaly Detection With LSTM Neural Networks</t>
  </si>
  <si>
    <t>Tolga Ergen; Süleyman S. Kozat</t>
  </si>
  <si>
    <t>IEEE Transactions on Neural Networks and Learning Systems</t>
  </si>
  <si>
    <t>379.0</t>
  </si>
  <si>
    <t>10.1109/tnnls.2019.2935975</t>
  </si>
  <si>
    <t>W2766761849</t>
  </si>
  <si>
    <t>Robust log-based anomaly detection on unstable log data</t>
  </si>
  <si>
    <t>Xu Zhang; Yong Xu; Qingwei Lin; Bo Qiao</t>
  </si>
  <si>
    <t>724.0</t>
  </si>
  <si>
    <t>10.1145/3338906.3338931</t>
  </si>
  <si>
    <t>LogAnomaly: Unsupervised Detection of Sequential and Quantitative Anomalies in Unstructured Logs</t>
  </si>
  <si>
    <t>Weibin Meng; Ying Liu; Yichen Zhu; Shenglin Zhang</t>
  </si>
  <si>
    <t>667.0</t>
  </si>
  <si>
    <t>10.24963/ijcai.2019/658</t>
  </si>
  <si>
    <t>Chained Anomaly Detection Models for Federated Learning: An Intrusion Detection Case Study</t>
  </si>
  <si>
    <t>Davy Preuveneers; Vera Rimmer; Ilias Tsingenopoulos; Jan Spooren; Wouter Joosen; Elisabeth Ilie‐Zudor</t>
  </si>
  <si>
    <t>320.0</t>
  </si>
  <si>
    <t>10.3390/app8122663</t>
  </si>
  <si>
    <t>W2903872466</t>
  </si>
  <si>
    <t>Towards Autonomous Planetary Exploration</t>
  </si>
  <si>
    <t>Martin J. Schuster; Sebastian G. Brunner; Kristin Bussmann; Stefan Büttner; Andreas Dömel; Matthias Hellerer; Hannah Lehner; Peter Lehner; Oliver Porges; Josef Reill; Sebastian Riedel; Mallikarjuna Vayugundla; Bernhard Vodermayer; Tim Bodenmüller; Christoph Brand; Werner Friedl; Iris Grixa; Heiko Hirschmüller; Michael Kaßecker; Zoltán-Csaba Márton; Christian Nissler; Felix Ruess; Michael Suppa; Ar</t>
  </si>
  <si>
    <t>Journal of Intelligent &amp; Robotic Systems</t>
  </si>
  <si>
    <t>10.1007/s10846-017-0680-9</t>
  </si>
  <si>
    <t>W2767694002</t>
  </si>
  <si>
    <t>DeepLog</t>
  </si>
  <si>
    <t>Min Du; Li Fei-Fei; Guineng Zheng; Vivek Srikumar</t>
  </si>
  <si>
    <t>1758.0</t>
  </si>
  <si>
    <t>10.1145/3133956.3134015</t>
  </si>
  <si>
    <t>Epistemological Debt: Cognitive Atrophy and Systemic Collapse in AI-Dependent Software Engineering</t>
  </si>
  <si>
    <t>Frank Ginac</t>
  </si>
  <si>
    <t>Human factors</t>
  </si>
  <si>
    <t>2604.26855</t>
  </si>
  <si>
    <t>Toward Trusted Onboard AI: Advancing Small Satellite Operations using Reinforcement Learning</t>
  </si>
  <si>
    <t>Cannon Whitney; Joseph Melville</t>
  </si>
  <si>
    <t>2507.22198</t>
  </si>
  <si>
    <t>Enhancing Control Room Operator Decision Making</t>
  </si>
  <si>
    <t>Joseph Mietkiewicz; Ammar N. Abbas; Chidera Winifred Amazu; Gabriele Baldissone; Anders Madsen; Micaela Demichela; Maria Chiara Leva</t>
  </si>
  <si>
    <t>Processes</t>
  </si>
  <si>
    <t>18.0</t>
  </si>
  <si>
    <t>10.3390/pr12020328</t>
  </si>
  <si>
    <t>W4391530538</t>
  </si>
  <si>
    <t>Applications, Challenges, and Future Directions of Human-in-the-Loop Learning</t>
  </si>
  <si>
    <t>Sushant Kumar; Sumit Datta; Vishakha Singh; Deepanwita Datta; Sanjay Kumar Singh; Ritesh Sharma</t>
  </si>
  <si>
    <t>147.0</t>
  </si>
  <si>
    <t>10.1109/ACCESS.2024.3401547</t>
  </si>
  <si>
    <t>W4396941516</t>
  </si>
  <si>
    <t>A Review of Trustworthy and Explainable Artificial Intelligence (XAI)</t>
  </si>
  <si>
    <t>Vinay Chamola; Vikas Hassija; A. Razia Sulthana; Debshishu Ghosh; Divyansh Dhingra; Biplab Sikdar</t>
  </si>
  <si>
    <t>316.0</t>
  </si>
  <si>
    <t>10.1109/ACCESS.2023.3294569</t>
  </si>
  <si>
    <t>W4385059984</t>
  </si>
  <si>
    <t>Zero-touch AIOps in multi-operator 5G networks</t>
  </si>
  <si>
    <t>Katherine Barabash ∗ Gino Carrozzo † Dean Lorenz ∗ Kalman Meth ∗ Shuaib M. Siddiqui</t>
  </si>
  <si>
    <t>Zenodo (CERN European Organization for Nuclear Research)</t>
  </si>
  <si>
    <t>10.5281/zenodo.7438857</t>
  </si>
  <si>
    <t>W4311566849</t>
  </si>
  <si>
    <t>A Neuroergonomics Approach to Mental Workload, Engagement and Human Performance</t>
  </si>
  <si>
    <t>Frédéric Dehais; Alex Lafont; Raphaëlle N. Roy; Stephen Fairclough</t>
  </si>
  <si>
    <t>245.0</t>
  </si>
  <si>
    <t>10.3389/fnins.2020.00268</t>
  </si>
  <si>
    <t>W3015212512</t>
  </si>
  <si>
    <t>Autopilot, Mind Wandering, and the Out of the Loop Performance Problem</t>
  </si>
  <si>
    <t>Jonas Gouraud; Arnaud Delorme; Bruno Berberian</t>
  </si>
  <si>
    <t>10.3389/fnins.2017.00541</t>
  </si>
  <si>
    <t>W2763605495</t>
  </si>
  <si>
    <t>Complacency and Bias in Human Use of Automation: An Attentional Integration</t>
  </si>
  <si>
    <t>Raja Parasuraman; Dietrich Manzey</t>
  </si>
  <si>
    <t>1501.0</t>
  </si>
  <si>
    <t>10.1177/0018720810376055</t>
  </si>
  <si>
    <t>ActionNex: A Virtual Outage Manager for Cloud Computing</t>
  </si>
  <si>
    <t>Zhenfeng Lin; Haoji Hu; Ming Hao; Xuchao Zhang; Ryan Zhang; Junhao Li; Ze Li; Oleg Kulygin</t>
  </si>
  <si>
    <t>LLM / agentic ops</t>
  </si>
  <si>
    <t>2604.03512</t>
  </si>
  <si>
    <t>Agentic Incident Response through Digital Twin-Enhanced Multiscale Planning</t>
  </si>
  <si>
    <t>Yiran Gao; Tao Li; Kim Hammar</t>
  </si>
  <si>
    <t>2608.02422</t>
  </si>
  <si>
    <t>Agentic Root Cause Analysis through Evidence-Grounded Reasoning</t>
  </si>
  <si>
    <t>Amaury Wei; Olga Fink</t>
  </si>
  <si>
    <t>2607.22385</t>
  </si>
  <si>
    <t>AgentSys: Secure and Dynamic LLM Agents Through Explicit Hierarchical Memory Management</t>
  </si>
  <si>
    <t>Ruoyao Wen; Hao Li; Chaowei Xiao; Ning Zhang</t>
  </si>
  <si>
    <t>2602.07398</t>
  </si>
  <si>
    <t>AI Observability for Large Language Model Systems: A Multi-Layer Analysis of Monitoring Approaches from Confidence Calibration to Infrastructure Tracing</t>
  </si>
  <si>
    <t>Twinkll Sisodia</t>
  </si>
  <si>
    <t>2604.26152</t>
  </si>
  <si>
    <t>AIR: Improving Agent Safety through Incident Response</t>
  </si>
  <si>
    <t>Zibo Xiao; Jun Sun; Junjie Chen</t>
  </si>
  <si>
    <t>2602.11749</t>
  </si>
  <si>
    <t>An LLM-Based Agentic Network Traffic Incident-Report Approach Towards Explainable-AI Network Defense</t>
  </si>
  <si>
    <t>Chia-Hong Chou; Arjun Sudheer; Younghee Park</t>
  </si>
  <si>
    <t>Journal of Sensor and Actuator Networks</t>
  </si>
  <si>
    <t>1.0</t>
  </si>
  <si>
    <t>10.3390/jsan15020032</t>
  </si>
  <si>
    <t>W7151474267</t>
  </si>
  <si>
    <t>AOI: Turning Failed Trajectories into Training Signals for Autonomous Cloud Diagnosis</t>
  </si>
  <si>
    <t>Pei Yang; Wanyi Chen; Asuka Yuxi Zheng; Xueqian Li; Xiang Li; Haoqin Tu; Jie Xiao; Yifan Pang</t>
  </si>
  <si>
    <t>2603.03378</t>
  </si>
  <si>
    <t>Autonomous Incident Resolution at Hyperscale: An Agentic AI Architecture for Network Operations</t>
  </si>
  <si>
    <t>Arun Malik</t>
  </si>
  <si>
    <t>2606.09122</t>
  </si>
  <si>
    <t>CalVerT: Augmenting Agents with Calibrated Verifier Telemetry Improves Action and Learning in Knowledge-Intensive Tasks</t>
  </si>
  <si>
    <t>Ashwin Vinod; Ying Ding; Elias Stengel-Eskin</t>
  </si>
  <si>
    <t>2606.21777</t>
  </si>
  <si>
    <t>Causal Software Engineering: A Vision and Roadmap</t>
  </si>
  <si>
    <t>Roberto Pietrantuono; Luca Giamattei; Stefano Russo; Julien Siebert; Neil Walkinshaw</t>
  </si>
  <si>
    <t>10.1145/3803437.3805585</t>
  </si>
  <si>
    <t>2605.02454</t>
  </si>
  <si>
    <t>Debugging the Debuggers: Failure-Anchored Structured Recovery for Software Engineering Agents</t>
  </si>
  <si>
    <t>Chenyu Zhao; Shenglin Zhang; Yihang Lin; Wenwei Gu; Zhimin Chen; Yongqian Sun; Dan Pei; Chetan Bansal</t>
  </si>
  <si>
    <t>2605.08717</t>
  </si>
  <si>
    <t>Diagnosis-Driven Automatic Repair for Agentic Workflow via Symbolic Inference</t>
  </si>
  <si>
    <t>Xuyan Ma; Yawen Wang; Junjie Wang; Xiaofei Xie; Boyu Wu; Mingyang Li; Dandan Wang; Qing Wang</t>
  </si>
  <si>
    <t>2607.02882</t>
  </si>
  <si>
    <t>FixItFlow: Automated Troubleshooting Guide Generation from Cloud Incidents</t>
  </si>
  <si>
    <t>Srihari Unnikrishnan; Jaskaran Singh Walia; Drishti Goel; Supriyo Ghosh</t>
  </si>
  <si>
    <t>2607.13035</t>
  </si>
  <si>
    <t>From Automated to Autonomous: Hierarchical Agent-native Network Architecture (HANA)</t>
  </si>
  <si>
    <t>Binghan Wu; Shoufeng Wang; Yunxin Liu; Ya-Qin Zhang; Joseph Sifakis; Ye Ouyang</t>
  </si>
  <si>
    <t>B. Wu, S. Wang, Y. Liu, Y. -Q. Zhang, J. Sifakis and Y. Ouyang, "From Automated to Autonomous: Hierarchical Agent-native Network Architecture (HANA)," in IEEE Networking Letters, 2026</t>
  </si>
  <si>
    <t>10.1109/lnet.2026.3693226</t>
  </si>
  <si>
    <t>2605.20608</t>
  </si>
  <si>
    <t>From Reactive to Autonomous: Evolution of AI Operations in Cloud Network Infrastructure</t>
  </si>
  <si>
    <t>2608.14574</t>
  </si>
  <si>
    <t>Governance-Aware Agent Telemetry for Closed-Loop Enforcement in Multi-Agent AI Systems</t>
  </si>
  <si>
    <t>Anshul Pathak; Nishant Jain</t>
  </si>
  <si>
    <t>2604.05119</t>
  </si>
  <si>
    <t>TELLER: Non-intrusive Cross-Layer Root-Cause Analysis for LLM Inference</t>
  </si>
  <si>
    <t>Ruilin Xu; Junyi Li; Pengfei Chen; Zongxuan Xie</t>
  </si>
  <si>
    <t>10.1145/3832783.3837440</t>
  </si>
  <si>
    <t>2608.01975</t>
  </si>
  <si>
    <t>The Semantic Training Gap: Ontology-Grounded Tool Architectures for Industrial AI Agent Systems</t>
  </si>
  <si>
    <t>Grama Chethan</t>
  </si>
  <si>
    <t>2605.11234</t>
  </si>
  <si>
    <t>Towards LLM Accelerated Rapid Reviews for Software Tool Discovery -- Case for Log Anomaly Detection</t>
  </si>
  <si>
    <t>Jesse Nyyssölä; Hamza Bin Mazhar; Alexander Bakhtin; Matteo Esposito; Nana Reinikainen; Yuqing Wang; Ying Song; Davide Taibi</t>
  </si>
  <si>
    <t>2606.16839</t>
  </si>
  <si>
    <t>TraceSIR: A Multi-Agent Framework for Structured Analysis and Reporting of Agentic Execution Traces</t>
  </si>
  <si>
    <t>Shu-Xun Yang; Cunxiang Wang; Haoke Zhang; Wenbo Yu; Lindong Wu; Jiayi Gui; Dayong Yang; Yukuo Cen</t>
  </si>
  <si>
    <t>2603.00623</t>
  </si>
  <si>
    <t>TRACE: Trajectory Reasoning through Adaptive Cross-Step Evidence Aggregation for LLM Agents</t>
  </si>
  <si>
    <t>Vijitha Mittapalli; Shreyaa Jayant Dani; Satya Srujana Pilli; Snigdha Ansu; Mohammadreza Teymoorianfard; Franck Dernoncourt; Hongjie Chen; Yu Wang</t>
  </si>
  <si>
    <t>2606.07054</t>
  </si>
  <si>
    <t>Tropical: Enhancing SLO Attainment in Disaggregated LLM Serving via SLO-Aware Multiplexing</t>
  </si>
  <si>
    <t>Jinming Ma; Jiefei Chen; Xiuhong Li; Jiangfei Duan; Haojie Duanmu; Xingcheng Zhang; Chao Yang; Dahua Lin</t>
  </si>
  <si>
    <t>2606.16264</t>
  </si>
  <si>
    <t>UModel: An Agent-Ready Observability Data Modeling Method at Scale</t>
  </si>
  <si>
    <t>Changhua Pei; Zheyuan Li; Zexin Wang; Hang Cui; Xiaohui Nie; Qi Zhou; Fang Situ; Cheng Zhang</t>
  </si>
  <si>
    <t>2606.04799</t>
  </si>
  <si>
    <t>When Agents Do Not Stop: Uncovering Infinite Agentic Loops in LLM Agents</t>
  </si>
  <si>
    <t>Xinyi Hou; Shenao Wang; Yanjie Zhao; Haoyu Wang</t>
  </si>
  <si>
    <t>2607.01641</t>
  </si>
  <si>
    <t>Why Do AI Agents Systematically Fail at Cloud Root Cause Analysis?</t>
  </si>
  <si>
    <t>Taeyoon Kim; Woohyeok Park; Hoyeong Yun; Kyungyong Lee</t>
  </si>
  <si>
    <t>2602.09937</t>
  </si>
  <si>
    <t>A Comprehensive Survey on LLM‐Based Network Management and Operations</t>
  </si>
  <si>
    <t>Jibum Hong; Jibum Hong; Nguyen Van Tu; James Won‐Ki Hong; James Won‐Ki Hong</t>
  </si>
  <si>
    <t>International Journal of Network Management</t>
  </si>
  <si>
    <t>13.0</t>
  </si>
  <si>
    <t>10.1002/nem.70029</t>
  </si>
  <si>
    <t>W4415071524</t>
  </si>
  <si>
    <t>Adapting Large Language Models for Parameter-Efficient Log Anomaly Detection</t>
  </si>
  <si>
    <t>Ying Fu Lim; Jiawen Zhu; Guansong Pang</t>
  </si>
  <si>
    <t>2503.08045</t>
  </si>
  <si>
    <t>Agentic AI for 6G: A New Paradigm for Autonomous RAN Security Compliance</t>
  </si>
  <si>
    <t>Sotiris Chatzimiltis; Mahdi Boloursaz Mashhadi; Mohammad Shojafar; Merouane Debbah; Rahim Tafazolli</t>
  </si>
  <si>
    <t>2512.12400</t>
  </si>
  <si>
    <t>AI-Enhanced Cloud Reliability Engineering: Integrating Incident Automation And Aiops For National Resilience</t>
  </si>
  <si>
    <t>Saravanan Raj</t>
  </si>
  <si>
    <t>Journal of International Crisis and Risk Communication Research</t>
  </si>
  <si>
    <t>10.63278/jicrcr.vi.3522</t>
  </si>
  <si>
    <t>W7116766021</t>
  </si>
  <si>
    <t>AIOps for log anomaly detection in the era of LLMs: A systematic literature review</t>
  </si>
  <si>
    <t>Miguel De la Cruz Cabello; Tiago Prince Sales; Marcos Machado</t>
  </si>
  <si>
    <t>Intelligent Systems with Applications</t>
  </si>
  <si>
    <t>10.1016/j.iswa.2025.200608</t>
  </si>
  <si>
    <t>W4416426157</t>
  </si>
  <si>
    <t>ALPHA: LLM-Enabled Active Learning for Human-Free Network Anomaly Detection</t>
  </si>
  <si>
    <t>Xuanhao Luo; Shivesh Madan Nath Jha; Akruti Sinha; Zhizhen Li; Yuchen Liu</t>
  </si>
  <si>
    <t>2509.05936</t>
  </si>
  <si>
    <t>Anomaly Detection and Root Cause Analysis in Cloud-Native Environments Using Large Language Models and Bayesian Networks</t>
  </si>
  <si>
    <t>Diego Frazatto Pedroso; Luís Almeida; Lucas Eduardo Gulka Pulcinelli; William Akihiro Alves Aisawa; Inês Dutra; Sarita Mazzini Bruschi</t>
  </si>
  <si>
    <t>10.1109/access.2025.3565220</t>
  </si>
  <si>
    <t>W4409916700</t>
  </si>
  <si>
    <t>A Novel GPT-Based Framework for Anomaly Detection in System Logs</t>
  </si>
  <si>
    <t>Zeng Zhang; Wenjie Yin; Xiaoqi Li</t>
  </si>
  <si>
    <t>2510.16044</t>
  </si>
  <si>
    <t>AOI: Context-Aware Multi-Agent Operations via Dynamic Scheduling and Hierarchical Memory Compression</t>
  </si>
  <si>
    <t>Zishan Bai; Hanxuan Chen; Jiayi Gu; Wenqian Weng; Enze Ge; Jiacheng Shi; Yichao Zhang; Zhimo Han</t>
  </si>
  <si>
    <t>2512.13956</t>
  </si>
  <si>
    <t>A Practical Approach to Defining a Framework for Developing an Agentic AIOps System</t>
  </si>
  <si>
    <t>Răzvan Daniel Zota; Corneliu Bărbulescu; Radu Constantinescu</t>
  </si>
  <si>
    <t>10.3390/electronics14091775</t>
  </si>
  <si>
    <t>W4409895145</t>
  </si>
  <si>
    <t>A Review of Generative AI and DevOps Pipelines: CI/CD, Agentic Automation, MLOps Integration, and LLMs</t>
  </si>
  <si>
    <t>Satyadhar Joshi</t>
  </si>
  <si>
    <t>International Journal of Innovative Research in Computer Science &amp; Technology</t>
  </si>
  <si>
    <t>8.0</t>
  </si>
  <si>
    <t>10.55524/ijircst.2025.13.4.1</t>
  </si>
  <si>
    <t>W4412047804</t>
  </si>
  <si>
    <t>Artificial Intelligence Agent-Enabled Predictive Maintenance: Conceptual Proposal and Basic Framework</t>
  </si>
  <si>
    <t>Wenyu Jiang; Fuwen Hu</t>
  </si>
  <si>
    <t>Computers</t>
  </si>
  <si>
    <t>16.0</t>
  </si>
  <si>
    <t>10.3390/computers14080329</t>
  </si>
  <si>
    <t>W4413380618</t>
  </si>
  <si>
    <t>Audit-Safe Agentic RAG Framework for Regulated Enterprise Systems: A Trustworthy AI Architecture for SAP, Finance, Healthcare, and Government Workflows</t>
  </si>
  <si>
    <t>Mahendra Vardhan Amilineni</t>
  </si>
  <si>
    <t>International Journal of Advances in Signal and Image Sciences</t>
  </si>
  <si>
    <t>10.29284/7fjzk883</t>
  </si>
  <si>
    <t>W7164403684</t>
  </si>
  <si>
    <t>BatteryAgent: Synergizing Physics-Informed Interpretation with LLM Reasoning for Intelligent Battery Fault Diagnosis</t>
  </si>
  <si>
    <t>Songqi Zhou; Ruixue Liu; Boman Su; Jiazhou Wang; Yixing Wang; Benben Jiang</t>
  </si>
  <si>
    <t>2512.24686</t>
  </si>
  <si>
    <t>CoE-Ops: Collaboration of LLM-based Experts for AIOps Question-Answering</t>
  </si>
  <si>
    <t>Jinkun Zhao; Yuanshuai Wang; Xingjian Zhang; Ruibo Chen; Xingchuang Liao; Junle Wang; Lei Huang; Kui Zhang</t>
  </si>
  <si>
    <t>2507.22937</t>
  </si>
  <si>
    <t>DrP: Meta's Efficient Investigations Platform at Scale</t>
  </si>
  <si>
    <t>Shubham Somani; Vanish Talwar; Madhura Parikh; Eduardo Hernandez; Jimmy Wang; Shreya Shah; Chinmay Gandhi; Sanjay Sundarajan</t>
  </si>
  <si>
    <t>2512.04250</t>
  </si>
  <si>
    <t>Enhancing Cloud Resilience through AI-Driven Root Cause Analysis</t>
  </si>
  <si>
    <t>Journal of Computational Analysis and Applications</t>
  </si>
  <si>
    <t>10.48047/jocaaa.2025.34.11.35</t>
  </si>
  <si>
    <t>W4416775005</t>
  </si>
  <si>
    <t>Flow-of-Action: SOP Enhanced LLM-Based Multi-Agent System for Root Cause Analysis</t>
  </si>
  <si>
    <t>Changhua Pei; Zexin Wang; Fengrui Liu; Zeyan Li; Yang Liu; Xiao He; Rong Kang; Tieying Zhang; Jianjun Chen; Jianhui Li; Gaogang Xie; Dan Pei</t>
  </si>
  <si>
    <t>10.1145/3701716.3715225</t>
  </si>
  <si>
    <t>W4410636386</t>
  </si>
  <si>
    <t>TAMO:Fine-Grained Root Cause Analysis via Tool-Assisted LLM Agent With Multi-Modality Observation Data in Cloud-Native Systems</t>
  </si>
  <si>
    <t>Xiao Zhang; Qi Wang; Mingyi Li; Yuan Yuan; Mengbai Xiao; Fuzhen Zhuang; Dongxiao Yu</t>
  </si>
  <si>
    <t>10.1109/TSC.2025.3629066</t>
  </si>
  <si>
    <t>W4415933773</t>
  </si>
  <si>
    <t>TempoBench: Reasoning Execution Without Causal Attribution Is Just Simulation</t>
  </si>
  <si>
    <t>Nikolaus Holzer; William Fishell; Baishakhi Ray; Mark Santolucito</t>
  </si>
  <si>
    <t>2510.27544</t>
  </si>
  <si>
    <t>The Multi-Agent Fault Localization System Based on Monte Carlo Tree Search Approach</t>
  </si>
  <si>
    <t>Rui Ren</t>
  </si>
  <si>
    <t>2507.22800</t>
  </si>
  <si>
    <t>Towards AI-Driven Human-Machine Co-Teaming for Adaptive and Agile Cyber Security Operation Centers</t>
  </si>
  <si>
    <t>Massimiliano Albanese; Xinming Ou; Kevin Lybarger; Daniel Lende; Dmitry Goldgof</t>
  </si>
  <si>
    <t>2505.06394</t>
  </si>
  <si>
    <t>Traceability and Accountability in Role-Specialized Multi-Agent LLM Pipelines</t>
  </si>
  <si>
    <t>Amine Barrak</t>
  </si>
  <si>
    <t>10.1109/asew67777.2025.00064</t>
  </si>
  <si>
    <t>W7124863487</t>
  </si>
  <si>
    <t>Transforming Cyber Defense: Harnessing Agentic and Frontier AI for Proactive, Ethical Threat Intelligence</t>
  </si>
  <si>
    <t>Krti Tallam</t>
  </si>
  <si>
    <t>2503.00164</t>
  </si>
  <si>
    <t>Transitioning from MLOps to LLMOps: Navigating the Unique Challenges of Large Language Models</t>
  </si>
  <si>
    <t>Saurabh Pahune; Zahid Akhtar</t>
  </si>
  <si>
    <t>10.3390/info16020087</t>
  </si>
  <si>
    <t>W4406756422</t>
  </si>
  <si>
    <t>Triangle: Empowering Incident Triage with Multi-Agent</t>
  </si>
  <si>
    <t>Zhaoyang Yu; Aoyang Fang; Minghua Ma; Jaskaran Singh Walia; Chaoyun Zhang; Shu Chi; Ze Li; Murali Chintalapati; Xuchao Zhang; Rujia Wang; Chetan Bansal; Saravan Rajmohan; Qingwei Lin; Shenglin Zhang; Dan Pei; Pinjia He</t>
  </si>
  <si>
    <t>10.1109/ase63991.2025.00062</t>
  </si>
  <si>
    <t>W7125951857</t>
  </si>
  <si>
    <t>TRiSM for Agentic AI: A Review of Trust, Risk, and Security Management in LLM-based Agentic Multi-Agent Systems</t>
  </si>
  <si>
    <t>Shaina Raza; Ranjan Sapkota; Manoj Karkee; Christos Emmanouilidis</t>
  </si>
  <si>
    <t>4.0</t>
  </si>
  <si>
    <t>10.48550/arxiv.2506.04133</t>
  </si>
  <si>
    <t>W4416075184</t>
  </si>
  <si>
    <t>Trustworthy agentic AI systems: a cross-layer review of architectures, threat models, and governance strategies for real-world deployment</t>
  </si>
  <si>
    <t>IBRAHIM ADABARA; Bashir Olaniyi Sadiq; Aliyu Nuhu Shuaibu; Yale Ibrahim Danjuma; Maninti Venkateswarlu</t>
  </si>
  <si>
    <t>F1000Research</t>
  </si>
  <si>
    <t>21.0</t>
  </si>
  <si>
    <t>10.12688/f1000research.169927.1</t>
  </si>
  <si>
    <t>W4414133540</t>
  </si>
  <si>
    <t>VerilogCoder: Autonomous Verilog Coding Agents with Graph-based Planning and Abstract Syntax Tree (AST)-based Waveform Tracing Tool</t>
  </si>
  <si>
    <t>Chia-Tung Ho; Haoxing Ren; Brucek Khailany</t>
  </si>
  <si>
    <t>Proceedings of the AAAI Conference on Artificial Intelligence</t>
  </si>
  <si>
    <t>10.1609/aaai.v39i1.32007</t>
  </si>
  <si>
    <t>W4409369309</t>
  </si>
  <si>
    <t>When AIOps Become "AI Oops": Subverting LLM-driven IT Operations via Telemetry Manipulation</t>
  </si>
  <si>
    <t>Dario Pasquini; Evgenios M. Kornaropoulos; Giuseppe Ateniese; Omer Akgul; Athanasios Theocharis; Petros Efstathopoulos</t>
  </si>
  <si>
    <t>2508.06394</t>
  </si>
  <si>
    <t>Agentic AI: A Comprehensive Survey of Technologies, Applications, and Societal Implications</t>
  </si>
  <si>
    <t>Ashis Kumar Pati</t>
  </si>
  <si>
    <t>65.0</t>
  </si>
  <si>
    <t>10.1109/ACCESS.2025.3585609</t>
  </si>
  <si>
    <t>W4411995908</t>
  </si>
  <si>
    <t>Agentic AI: Autonomous Intelligence for Complex Goals—A Comprehensive Survey</t>
  </si>
  <si>
    <t>Deepak Bhaskar Acharya; Karthigeyan Kuppan; B Divya</t>
  </si>
  <si>
    <t>562.0</t>
  </si>
  <si>
    <t>10.1109/ACCESS.2025.3532853</t>
  </si>
  <si>
    <t>W4406728221</t>
  </si>
  <si>
    <t>The role of agentic AI in shaping a smart future: A systematic review</t>
  </si>
  <si>
    <t>Soodeh Hosseini; Hossein Seilani</t>
  </si>
  <si>
    <t>Array</t>
  </si>
  <si>
    <t>216.0</t>
  </si>
  <si>
    <t>10.1016/j.array.2025.100399</t>
  </si>
  <si>
    <t>W4410197190</t>
  </si>
  <si>
    <t>Towards LLM-Based Failure Localization in Production-Scale Networks</t>
  </si>
  <si>
    <t>Chenxu Wang; Xumiao Zhang; Runwei Lu; Xianshang Lin</t>
  </si>
  <si>
    <t>10.1145/3718958.3750505</t>
  </si>
  <si>
    <t>Agentic AI in Predictive AIOps: Enhancing IT Autonomy and Performance</t>
  </si>
  <si>
    <t>Shanmugasundaram Sivakumar</t>
  </si>
  <si>
    <t>International Journal of Scientific Research and Management (IJSRM)</t>
  </si>
  <si>
    <t>10.18535/ijsrm/v12i11.ec01</t>
  </si>
  <si>
    <t>W4404008845</t>
  </si>
  <si>
    <t>AI Assistants for Incident Lifecycle in a Microservice Environment: A Systematic Literature Review</t>
  </si>
  <si>
    <t>Dahlia Ziqi Zhou; Marios Fokaefs</t>
  </si>
  <si>
    <t>2410.04334</t>
  </si>
  <si>
    <t>AIOps and DevOps : Catalysts of Digital Transformation in the Age of Automated Operations</t>
  </si>
  <si>
    <t>Sekhar Chittala</t>
  </si>
  <si>
    <t>International Journal of Scientific Research in Computer Science Engineering and Information Technology</t>
  </si>
  <si>
    <t>10.32628/cseit24106163</t>
  </si>
  <si>
    <t>W4404115010</t>
  </si>
  <si>
    <t>AIOps in Action: Automating AI Deployment and Management of Large Language Models for Scalable and Ethical Operations</t>
  </si>
  <si>
    <t>Sekhar Chittala -</t>
  </si>
  <si>
    <t>International Journal For Multidisciplinary Research</t>
  </si>
  <si>
    <t>2.0</t>
  </si>
  <si>
    <t>10.36948/ijfmr.2024.v06i05.28795</t>
  </si>
  <si>
    <t>W4403657767</t>
  </si>
  <si>
    <t>An architecture for model-based and intelligent automation in DevOps</t>
  </si>
  <si>
    <t>Romina Eramo; Bilal Said; Marc Oriol; Hugo Brunelière; Sergio Morales</t>
  </si>
  <si>
    <t>Journal of Systems and Software</t>
  </si>
  <si>
    <t>22.0</t>
  </si>
  <si>
    <t>10.1016/j.jss.2024.112180</t>
  </si>
  <si>
    <t>W4401270762</t>
  </si>
  <si>
    <t>AnomalyLLM: Few-shot Anomaly Edge Detection for Dynamic Graphs using Large Language Models</t>
  </si>
  <si>
    <t>Shuo Liu; Di Yao; Lanting Fang; Zhetao Li; Wenbin Li; Kaiyu Feng; XiaoWen Ji; Jingping Bi</t>
  </si>
  <si>
    <t>2405.07626</t>
  </si>
  <si>
    <t>AutoCodeRover: Autonomous Program Improvement</t>
  </si>
  <si>
    <t>Yuntong Zhang; Haifeng Ruan; Zhiyu Fan; Abhik Roychoudhury</t>
  </si>
  <si>
    <t>141.0</t>
  </si>
  <si>
    <t>10.1145/3650212.3680384</t>
  </si>
  <si>
    <t>W4402442868</t>
  </si>
  <si>
    <t>Cloud Intelligence and AIOps Integration: A Framework for Autonomous IT Operations in Modern Cloud Environments</t>
  </si>
  <si>
    <t>Sushil Prabhu Prabhakaran -</t>
  </si>
  <si>
    <t>10.36948/ijfmr.2024.v06i06.33643</t>
  </si>
  <si>
    <t>W4405808253</t>
  </si>
  <si>
    <t>ENCO: Life-Cycle Management of Enterprise-Grade Copilots</t>
  </si>
  <si>
    <t>Yiwen Zhu; Mathieu Demarne; Kai Deng; Wenjing Wang; Nutan Sahoo; Divya Vermareddy; Hannah Lerner; Yunlei Lu</t>
  </si>
  <si>
    <t>10.1145/3770854.3783949</t>
  </si>
  <si>
    <t>2412.06099</t>
  </si>
  <si>
    <t>Enhancing Cluster Resilience: LLM-agent Based Autonomous Intelligent Cluster Diagnosis System and Evaluation Framework</t>
  </si>
  <si>
    <t>Honghao Shi; Longkai Cheng; Wenli Wu; Yuhang Wang; Xuan Liu; Shaokai Nie; Weixv Wang; Xuebin Min</t>
  </si>
  <si>
    <t>2411.05349</t>
  </si>
  <si>
    <t>Exploring LLM-based Agents for Root Cause Analysis</t>
  </si>
  <si>
    <t>Devjeet Roy; Xuchao Zhang; Rashi Bhave; Chetan Bansal; Pedro Las-Casas; Rodrigo Fonseca; Saravan Rajmohan</t>
  </si>
  <si>
    <t>2403.04123</t>
  </si>
  <si>
    <t>FAIL: Analyzing Software Failures from the News Using LLMs</t>
  </si>
  <si>
    <t>Dharun Anandayuvaraj; Matthew Campbell; Arav Tewari; James C. Davis</t>
  </si>
  <si>
    <t>10.1145/3691620.3695022</t>
  </si>
  <si>
    <t>2406.08221</t>
  </si>
  <si>
    <t>GenKubeSec: LLM-Based Kubernetes Misconfiguration Detection, Localization, Reasoning, and Remediation</t>
  </si>
  <si>
    <t>Ehud Malul; Yair Meidan; Dudu Mimran; Yuval Elovici; Asaf Shabtai</t>
  </si>
  <si>
    <t>2405.19954</t>
  </si>
  <si>
    <t>The potential of LLM-generated reports in DevSecOps</t>
  </si>
  <si>
    <t>Nikolaos Lykousas; Vasileios Argyropoulos; Fran Casino</t>
  </si>
  <si>
    <t>10.1007/978-3-031-98410-5_27</t>
  </si>
  <si>
    <t>2410.01899</t>
  </si>
  <si>
    <t>Using LLMs as Incident Prevention Copilots in Cloud Infrastructure</t>
  </si>
  <si>
    <t>Sai Prasad Veluru; Mohan Krishna Manchala</t>
  </si>
  <si>
    <t>International Journal of AI BigData Computational and Management Studies</t>
  </si>
  <si>
    <t>10.63282/3050-9416.ijaibdcms-v5i4p106</t>
  </si>
  <si>
    <t>W4411659426</t>
  </si>
  <si>
    <t>X-lifecycle Learning for Cloud Incident Management using LLMs</t>
  </si>
  <si>
    <t>Drishti Goel; Fiza Husain; Aditya Singh; Supriyo Ghosh; Anjaly Parayil; Chetan Bansal; Xuchao Zhang; Saravan Rajmohan</t>
  </si>
  <si>
    <t>2404.03662</t>
  </si>
  <si>
    <t>Xpert: Empowering Incident Management with Query Recommendations via Large Language Models</t>
  </si>
  <si>
    <t>Yuxuan Jiang; Chaoyun Zhang; Shilin He; Z. Q. Yang; Minghua Ma; Si Qin; Yu Kang; Yingnong Dang; Saravan Rajmohan; Qingwei Lin; Dongmei Zhang</t>
  </si>
  <si>
    <t>36.0</t>
  </si>
  <si>
    <t>10.1145/3597503.3639081</t>
  </si>
  <si>
    <t>W4394745158</t>
  </si>
  <si>
    <t>Automatic Root Cause Analysis via Large Language Models for Cloud Incidents</t>
  </si>
  <si>
    <t>Yinfang Chen; Huaibing Xie; Minghua Ma; Yu Kang; Xin Gao; L. -B. Shi; Yunjie Cao; X. Y. Gao; Hao Fan; Ming Wen; Jun Zeng; Supriyo Ghosh; Xuchao Zhang; Zhang, Chaoyun; Qingwei Lin; Saravan Rajmohan; Dongmei Zhang; Xu, Tianyin</t>
  </si>
  <si>
    <t>10.48550/arxiv.2305.15778</t>
  </si>
  <si>
    <t>W4378499274</t>
  </si>
  <si>
    <t>D-Bot: Database Diagnosis System using Large Language Models</t>
  </si>
  <si>
    <t>Xuanhe Zhou; Guoliang Li; Zhaoyan Sun; Zhiyuan Liu; Weize Chen; Jianming Wu; Jiesi Liu; Ruohang Feng</t>
  </si>
  <si>
    <t>2312.01454</t>
  </si>
  <si>
    <t>TARGET: Automated Scenario Generation from Traffic Rules for Testing Autonomous Vehicles via Validated LLM-Guided Knowledge Extraction</t>
  </si>
  <si>
    <t>Yao Deng; Jiaohong Yao; Zhi Tu; Xi Zheng; Mengshi Zhang; Tianyi Zhang</t>
  </si>
  <si>
    <t>IEEE Transactions on Software Engineering, Jul. 2025, pp. 1950-1968, vol. 51</t>
  </si>
  <si>
    <t>10.1109/tse.2025.3569086</t>
  </si>
  <si>
    <t>2305.06018</t>
  </si>
  <si>
    <t>RCAgent: Cloud Root Cause Analysis by Autonomous Agents with Tool-Augmented Large Language Models</t>
  </si>
  <si>
    <t>Zefan Wang; Zichuan Liu; Yingying Zhang; Aoxiao Zhong</t>
  </si>
  <si>
    <t>10.1145/3627673.3680016</t>
  </si>
  <si>
    <t>2310.16340</t>
  </si>
  <si>
    <t>LogGPT: Exploring ChatGPT for Log-Based Anomaly Detection</t>
  </si>
  <si>
    <t>Jiaxing Qi; Shaohan Huang; Zhongzhi Luan; Carol Fung</t>
  </si>
  <si>
    <t>2309.01189</t>
  </si>
  <si>
    <t>AutoTSG: Learning and Synthesis for Incident Troubleshooting</t>
  </si>
  <si>
    <t>Manish Shetty; Chetan Bansal; Sai Pramod Upadhyayula; Arjun Radhakrishna; Anurag Gupta</t>
  </si>
  <si>
    <t>2205.13457</t>
  </si>
  <si>
    <t>A Cascaded Graph Neural Network for Joint Root Cause Localization and Analysis in Edge Computing Environments</t>
  </si>
  <si>
    <t>Duneesha Fernando; Maria A. Rodriguez; Rajkumar Buyya</t>
  </si>
  <si>
    <t>Root-cause analysis</t>
  </si>
  <si>
    <t>2603.01447</t>
  </si>
  <si>
    <t>ARGUS: MCP-Grounded Root Cause Analysis for Kubernetes Incidents</t>
  </si>
  <si>
    <t>Ergi Senja; Seyed Mohammad Reza Razavi Zadegan; Philipp Leitner</t>
  </si>
  <si>
    <t>2608.23084</t>
  </si>
  <si>
    <t>ARMOR: A Robust Self-Supervised Framework for Root Cause Analysis in Microservices under Missing Modality</t>
  </si>
  <si>
    <t>Wenzhuo Qian; Hailiang Zhao; Ziqi Wang; Zhipeng Gao; Jiayi Chen; Zhiwei Ling; Shuiguang Deng</t>
  </si>
  <si>
    <t>2603.25538</t>
  </si>
  <si>
    <t>Auditable Graph-Guided Root Cause Analysis for Kubernetes Incidents</t>
  </si>
  <si>
    <t>Anastasiia Kuvshinova; Seungmin Jin</t>
  </si>
  <si>
    <t>2606.08590</t>
  </si>
  <si>
    <t>Beyond Microservices: Testing Web-Scale RCA Methods on GPU-Driven LLM Workloads</t>
  </si>
  <si>
    <t>Dominik Scheinert; Alexander Acker; Thorsten Wittkopp; Soeren Becker; Hamza Yous; Karnakar Reddy; Ibrahim Farhat; Hakim Hacid</t>
  </si>
  <si>
    <t>2603.02057</t>
  </si>
  <si>
    <t>Bridging Temporal and Textual Modalities: A Multimodal Framework for Automated Cloud Failure Root Cause Analysis</t>
  </si>
  <si>
    <t>Gijun Park</t>
  </si>
  <si>
    <t>2601.04709</t>
  </si>
  <si>
    <t>EvoCause: LLM-Guided Evolution of Causal Graphs for Root Cause Analysis</t>
  </si>
  <si>
    <t>Lei Zan; Keli Zhang; Shifeng Xie; Jiale Zheng; Zehao Xiao; Zhiwei Dong; Ke Zhang; Ruichu Cai</t>
  </si>
  <si>
    <t>2607.27290</t>
  </si>
  <si>
    <t>TeleCom-Bench: How Far Are Large Language Models from Industrial Telecommunication Applications?</t>
  </si>
  <si>
    <t>Jieting Xiao; Yun Lin; Huizhen Qiu; Rui Ma; Chen Zhong; Dongyang Xu; Xiao Long; Chaoyu Zhang</t>
  </si>
  <si>
    <t>2605.18025</t>
  </si>
  <si>
    <t>The Autonomy Tax: Defense Training Breaks LLM Agents</t>
  </si>
  <si>
    <t>Shawn Li; Yue Zhao</t>
  </si>
  <si>
    <t>2603.19423</t>
  </si>
  <si>
    <t>The Story Shapes the Agent: Narrative Priors in LLM Behavior</t>
  </si>
  <si>
    <t>Yixuan Wang; James Lester; Shashank Srivastava</t>
  </si>
  <si>
    <t>2607.18566</t>
  </si>
  <si>
    <t>AI-driven anomaly detection and root cause analysis: Using machine learning on logs, metrics, and traces to detect subtle performance anomalies, security threats, or failures in complex cloud environments</t>
  </si>
  <si>
    <t>Raviteja Guntupalli</t>
  </si>
  <si>
    <t>World Journal of Advanced Research and Reviews</t>
  </si>
  <si>
    <t>10.30574/wjarr.2025.26.2.1521</t>
  </si>
  <si>
    <t>W4410280982</t>
  </si>
  <si>
    <t>COCA: Generative Root Cause Analysis for Distributed Systems with Code Knowledge</t>
  </si>
  <si>
    <t>Yichen Li; Yulun Wu; Jinyang Liu; Zhihan Jiang; Zhuangbin Chen; Guangba Yu; Michael R. Lyu</t>
  </si>
  <si>
    <t>2503.23051</t>
  </si>
  <si>
    <t>GALA: Can Graph-Augmented Large Language Model Agentic Workflows Elevate Root Cause Analysis?</t>
  </si>
  <si>
    <t>Yifang Tian; Yaming Liu; Zichun Chong; Zihang Huang; Hans-Arno Jacobsen</t>
  </si>
  <si>
    <t>2508.12472</t>
  </si>
  <si>
    <t>TrioXpert: An Automated Incident Management Framework for Microservice System</t>
  </si>
  <si>
    <t>Yongqian Sun; Yu Luo; Xidao Wen; Yuan Yuan; Xiaohui Nie; Shenglin Zhang; Tong Liu; Xi Luo</t>
  </si>
  <si>
    <t>2506.10043</t>
  </si>
  <si>
    <t>Uncovering Vulnerabilities of LLM-Assisted Cyber Threat Intelligence</t>
  </si>
  <si>
    <t>Yuqiao Meng; Luoxi Tang; Feiyang Yu; Jinyuan Jia; Guanhua Yan; Ping Yang; Zhaohan Xi</t>
  </si>
  <si>
    <t>2509.23573</t>
  </si>
  <si>
    <t>Surveying Root Cause Analysis Techniques: A Comprehensive Review of Aspects for Multi-Service Applications</t>
  </si>
  <si>
    <t>Zhijing Li; Jianbo Yu; Zhijun Huang; Yusheng Huang</t>
  </si>
  <si>
    <t>10.1109/TSC.2025.3631913</t>
  </si>
  <si>
    <t>W4416178230</t>
  </si>
  <si>
    <t>Automated Root Cause Analysis System for Complex Data Products</t>
  </si>
  <si>
    <t>Mathieu Demarne; Miso Cilimdzic; Tom Falkowski; Timothy Johnson; Jim Gramling; Wei Kuang; Hoobie Hou; Amjad Aryan</t>
  </si>
  <si>
    <t>2412.15374</t>
  </si>
  <si>
    <t>Automated Root Causing of Cloud Incidents using In-Context Learning with GPT-4</t>
  </si>
  <si>
    <t>Xuchao Zhang; Supriyo Ghosh; Chetan Bansal; Rujia Wang; Minghua Ma; Yu Kang; Saravan Rajmohan</t>
  </si>
  <si>
    <t>10.48550/arxiv.2401.13810</t>
  </si>
  <si>
    <t>W4391272169</t>
  </si>
  <si>
    <t>Exploring Multi-Modal Data with Tool-Augmented LLM Agents for Precise Causal Discovery</t>
  </si>
  <si>
    <t>ChengAo Shen; Zhengzhang Chen; Dongsheng Luo; Dongkuan Xu; Haifeng Chen; Jingchao Ni</t>
  </si>
  <si>
    <t>2412.13667</t>
  </si>
  <si>
    <t>TVDiag: A Task-oriented and View-invariant Failure Diagnosis Framework with Multimodal Data</t>
  </si>
  <si>
    <t>Shuaiyu Xie; Jian Wang; Hanbin He; Zhihao Wang; Yuqi Zhao; Neng Zhang; Bing Li</t>
  </si>
  <si>
    <t>2407.19711</t>
  </si>
  <si>
    <t>Distributed Tracing for Troubleshooting of Native Cloud Applications via Rule-Induction Systems</t>
  </si>
  <si>
    <t>Arnak Poghosyan; Ashot Harutyunyan; Naira Grigoryan; Clement Chun Cheong Pang</t>
  </si>
  <si>
    <t>JUCS - Journal of Universal Computer Science</t>
  </si>
  <si>
    <t>10.3897/jucs.112513</t>
  </si>
  <si>
    <t>W4388838946</t>
  </si>
  <si>
    <t>Eadro: An End-to-End Troubleshooting Framework for Microservices on Multi-source Data</t>
  </si>
  <si>
    <t>Cheryl Lee; Tianyi Yang; Zhuangbin Chen; Yuxin Su; Michael R. Lyu</t>
  </si>
  <si>
    <t>2302.05092</t>
  </si>
  <si>
    <t>TraceDiag: Adaptive, Interpretable, and Efficient Root Cause Analysis on Large-Scale Microservice Systems</t>
  </si>
  <si>
    <t>Ruomeng Ding; Chaoyun Zhang; Lu Wang; Yong Xu; Minghua Ma; Xiaomin Wu; Meng Zhang; Qingjun Chen; Xin Gao; X. Y. Gao; Hao Fan; Saravan Rajmohan; Qingwei Lin; Dongmei Zhang</t>
  </si>
  <si>
    <t>10.1145/3611643.3613864</t>
  </si>
  <si>
    <t>W4389209173</t>
  </si>
  <si>
    <t>Nezha: Interpretable Fine-Grained Root Causes Analysis for Microservices on Multi-modal Observability Data</t>
  </si>
  <si>
    <t>Guangba Yu; Pengfei Chen; Yufeng Li; Hongyang Chen</t>
  </si>
  <si>
    <t>117.0</t>
  </si>
  <si>
    <t>10.1145/3611643.3616249</t>
  </si>
  <si>
    <t>A big data-driven root cause analysis system: Application of Machine Learning in quality problem solving</t>
  </si>
  <si>
    <t>Qiuping Ma; Hongyan Li; Anders Thorstenson</t>
  </si>
  <si>
    <t>Computers &amp; Industrial Engineering</t>
  </si>
  <si>
    <t>87.0</t>
  </si>
  <si>
    <t>10.1016/j.cie.2021.107580</t>
  </si>
  <si>
    <t>W3190028216</t>
  </si>
  <si>
    <t>An Empirical Study on Root Cause Analysis and Prediction of Network Failure Using Deep Learning</t>
  </si>
  <si>
    <t>Minhwan Choi; Tae-Young Kim; Jong pil Lee; Seounghyun Koh</t>
  </si>
  <si>
    <t>2021 International Conference on Information and Communication Technology Convergence (ICTC)</t>
  </si>
  <si>
    <t>10.1109/ictc52510.2021.9621097</t>
  </si>
  <si>
    <t>W4200497638</t>
  </si>
  <si>
    <t>Practical Root Cause Localization for Microservice Systems via Trace Analysis</t>
  </si>
  <si>
    <t>Zeyan Li; Junjie Chen; Rui Jiao; Nengwen Zhao</t>
  </si>
  <si>
    <t>136.0</t>
  </si>
  <si>
    <t>10.1109/iwqos52092.2021.9521340</t>
  </si>
  <si>
    <t>ADR: An Agentic Detection System for Enterprise Agentic AI Security</t>
  </si>
  <si>
    <t>Chenning Li; Pan Hu; Justin Xu; Baris Ozbas; Olivia Liu; Caroline Van; Manxue Li; Wei Zhou</t>
  </si>
  <si>
    <t>Security IR / SOC</t>
  </si>
  <si>
    <t>2605.17380</t>
  </si>
  <si>
    <t>Agentic Cloud Decoys: A Deception-Driven Framework for Autonomous Intrusion Investigation</t>
  </si>
  <si>
    <t>Mohan Manivannan; Dalal Alharthi</t>
  </si>
  <si>
    <t>2607.24006</t>
  </si>
  <si>
    <t>Agentra: A Supervisable Multi-Agent Framework for Enterprise Intrusion Response</t>
  </si>
  <si>
    <t>Raj Patel; Shaswata Mitra; Michele Guida; Stefano Iannucci; Sudip Mittal; Shahram Rahimi</t>
  </si>
  <si>
    <t>2606.18325</t>
  </si>
  <si>
    <t>AI-Driven Security Alert Screening and Alert Fatigue Mitigation in Security Operations Centers: A Survey</t>
  </si>
  <si>
    <t>Samuel Ndichu; Tao Ban; Seiichi Ozawa; Takeshi Takahashi; Daisuke Inoue</t>
  </si>
  <si>
    <t>2605.08316</t>
  </si>
  <si>
    <t>AlertBERT: A noise-robust alert grouping framework for simultaneous cyber attacks</t>
  </si>
  <si>
    <t>Lukas Karner; Max Landauer; Markus Wurzenberger; Florian Skopik</t>
  </si>
  <si>
    <t>2602.06534</t>
  </si>
  <si>
    <t>An Organization-Scoped LLM Agent Runtime Architecture for Regulated Cybersecurity Operations</t>
  </si>
  <si>
    <t>George Fatouros; Georgios Makridis; George Kousiouris; John Soldatos; Dimosthenis Kyriazis</t>
  </si>
  <si>
    <t>2605.30604</t>
  </si>
  <si>
    <t>API Security Based on Automatic OpenAPI Mapping</t>
  </si>
  <si>
    <t>Yarin Levi; Ran Dubin</t>
  </si>
  <si>
    <t>2604.19471</t>
  </si>
  <si>
    <t>A Survey of Agentic AI and Cybersecurity: Challenges, Opportunities and Use-case Prototypes</t>
  </si>
  <si>
    <t>Sahaya Jestus Lazer; Kshitiz Aryal; Maanak Gupta; Elisa Bertino</t>
  </si>
  <si>
    <t>2601.05293</t>
  </si>
  <si>
    <t>Automated SBOM-Driven Vulnerability Triage for IoT Firmware: A Lightweight Pipeline for Risk Prioritization</t>
  </si>
  <si>
    <t>Abdurrahman Tolay</t>
  </si>
  <si>
    <t>2601.01308</t>
  </si>
  <si>
    <t>Cross-Layer Semantic Flow Reconstruction for Attack Detection in Agentic Systems</t>
  </si>
  <si>
    <t>Qizhi Cai; Yangyang Wei; Zhipeng Chen; Shouling Ji; Zhenyuan Li</t>
  </si>
  <si>
    <t>2603.04469</t>
  </si>
  <si>
    <t>CUSTOS: Toward Forensic-Ready Zero Trust at the Capture-Containment Boundary</t>
  </si>
  <si>
    <t>Avinash Srinivasan; John Paramadilok</t>
  </si>
  <si>
    <t>2608.17068</t>
  </si>
  <si>
    <t>CyberAId: AI-Driven Cybersecurity for Financial Service Providers</t>
  </si>
  <si>
    <t>George Fatouros; Georgios Makridis; John Soldatos; Dimosthenis Kyriazis; Pedro Malo; George Kousiouris; Giannis Ledakis; Louiza Kachrimani</t>
  </si>
  <si>
    <t>2605.01892</t>
  </si>
  <si>
    <t>Design Principles for the Construction of a Benchmark Evaluating Security Operation Capabilities of Multi-agent AI Systems</t>
  </si>
  <si>
    <t>Yicheng Cai; Mitchell John DeStefano; Guodong Dong; Pulkit Handa; Peng Liu; Tejas Singhal; Peiyu Tseng; Winston Jen White</t>
  </si>
  <si>
    <t>2603.28998</t>
  </si>
  <si>
    <t>From Noise to Signal: Improving Security Log Anomaly Detection Using LLMs with Endpoint-Specific Logs</t>
  </si>
  <si>
    <t>Christopher Henshaw; Gour Karmakar</t>
  </si>
  <si>
    <t>2608.19938</t>
  </si>
  <si>
    <t>Toward Secure LLM Agents: Threat Surfaces, Attacks, Defenses, and Evaluation</t>
  </si>
  <si>
    <t>Yuchen Ling; Shengcheng Yu; Zhenyu Chen; Chunrong Fang</t>
  </si>
  <si>
    <t>2606.10749</t>
  </si>
  <si>
    <t>Watermarking LLM Agent Trajectories</t>
  </si>
  <si>
    <t>Wenlong Meng; Chen Gong; Terry Yue Zhuo; Fan Zhang; Kecen Li; Zheng Liu; Zhou Yang; Chengkun Wei</t>
  </si>
  <si>
    <t>2602.18700</t>
  </si>
  <si>
    <t>A cybersecurity AI agent selection and decision support framework</t>
  </si>
  <si>
    <t>Masike Malatji</t>
  </si>
  <si>
    <t>2510.01751</t>
  </si>
  <si>
    <t>Advancing Cyber Incident Timeline Analysis Through Retrieval-Augmented Generation and Large Language Models</t>
  </si>
  <si>
    <t>Fatma Yasmine Loumachi; Mohamed Chahine Ghanem; Mohamed Amine Ferrag</t>
  </si>
  <si>
    <t>10.3390/computers14020067</t>
  </si>
  <si>
    <t>W4407509125</t>
  </si>
  <si>
    <t>AgenticCyber: A GenAI-Powered Multi-Agent System for Multimodal Threat Detection and Adaptive Response in Cybersecurity</t>
  </si>
  <si>
    <t>Shovan Roy</t>
  </si>
  <si>
    <t>2512.06396</t>
  </si>
  <si>
    <t>AI-Augmented SOC: A Survey of LLMs and Agents for Security Automation</t>
  </si>
  <si>
    <t>S. Srinivas; Brandon Kirk; Julissa Zendejas; Michael Espino; Matthew Boskovich; Abdul Bari; Khalil Dajani; Nabeel Alzahrani</t>
  </si>
  <si>
    <t>Journal of Cybersecurity and Privacy</t>
  </si>
  <si>
    <t>10.3390/jcp5040095</t>
  </si>
  <si>
    <t>W4415932290</t>
  </si>
  <si>
    <t>A Multi-Agent System for Cybersecurity Threat Detection and Correlation Using Large Language Models</t>
  </si>
  <si>
    <t>Yasser Hmimou; Mohamed Tabaa; Azeddine Khiat; Zineb Hidila</t>
  </si>
  <si>
    <t>15.0</t>
  </si>
  <si>
    <t>10.1109/ACCESS.2025.3602681</t>
  </si>
  <si>
    <t>W4413556821</t>
  </si>
  <si>
    <t>Analysing the role of LLMs in cybersecurity incident management</t>
  </si>
  <si>
    <t>G. H. Gethin Jones; Dimitrios Kasimatis; Nikolaos Pitropakis; Richard Macfarlane; William J. Buchanan</t>
  </si>
  <si>
    <t>International Journal of Information Security</t>
  </si>
  <si>
    <t>10.1007/s10207-025-01144-7</t>
  </si>
  <si>
    <t>W4415688741</t>
  </si>
  <si>
    <t>A Practical Honeypot-Based Threat Intelligence Framework for Cyber Defence in the Cloud</t>
  </si>
  <si>
    <t>Darren Malvern Chin; Bilal Isfaq; Simon Yusuf Enoch</t>
  </si>
  <si>
    <t>2512.05321</t>
  </si>
  <si>
    <t>A Review of Agentic AI in Cybersecurity: Cognitive Autonomy, Ethical Governance, and Quantum-Resilient Defense</t>
  </si>
  <si>
    <t>10.12688/f1000research.169337.1</t>
  </si>
  <si>
    <t>W4413880655</t>
  </si>
  <si>
    <t>Automated Alert Classification and Triage (AACT): An Intelligent System for the Prioritisation of Cybersecurity Alerts</t>
  </si>
  <si>
    <t>Melissa Turcotte; François Labrèche; Serge-Olivier Paquette</t>
  </si>
  <si>
    <t>2505.09843</t>
  </si>
  <si>
    <t>Autonomous AI-based Cybersecurity Framework for Critical Infrastructure: Real-Time Threat Mitigation</t>
  </si>
  <si>
    <t>Jenifer Paulraj; Brindha Raghuraman; Nagarani Gopalakrishnan; Yazan Otoum</t>
  </si>
  <si>
    <t>10.1109/snpd65828.2025.11254587</t>
  </si>
  <si>
    <t>2507.07416</t>
  </si>
  <si>
    <t>Autonomous Security Operations Centers (SOC): AI Agents for Threat Triage, Response, and Orchestration</t>
  </si>
  <si>
    <t>Anitha Mareedu</t>
  </si>
  <si>
    <t>International Journal of Emerging Research in Engineering and Technology</t>
  </si>
  <si>
    <t>10.63282/3050-922x.ijeret-v6i2p108</t>
  </si>
  <si>
    <t>W4412042534</t>
  </si>
  <si>
    <t>Benchmarking LLM-Assisted Blue Teaming via Standardized Threat Hunting</t>
  </si>
  <si>
    <t>Yuqiao Meng; Luoxi Tang; Feiyang Yu; Xi Li; Guanhua Yan; Ping Yang; Zhaohan Xi</t>
  </si>
  <si>
    <t>2509.23571</t>
  </si>
  <si>
    <t>Benchmarking LLMs in an Embodied Environment for Blue Team Threat Hunting</t>
  </si>
  <si>
    <t>Xiaoqun Liu; Feiyang Yu; Xi Li; Guanhua Yan; Ping Yang; Zhaohan Xi</t>
  </si>
  <si>
    <t>2505.11901</t>
  </si>
  <si>
    <t>CORTEX: Collaborative LLM Agents for High-Stakes Alert Triage</t>
  </si>
  <si>
    <t>Bowen Wei; Yuan Shen Tay; Howard Liu; Jinhao Pan; Kun Luo; Ziwei Zhu; Chris Jordan</t>
  </si>
  <si>
    <t>2510.00311</t>
  </si>
  <si>
    <t>Cyber Resilience in Next-Generation Networks: Threat Landscape, Theoretical Foundations, and Design Paradigms</t>
  </si>
  <si>
    <t>Junaid Farooq; Quanyan Zhu</t>
  </si>
  <si>
    <t>2512.22721</t>
  </si>
  <si>
    <t>Cybersecurity AI in OT: Insights from an AI Top-10 Ranker in the Dragos OT CTF 2025</t>
  </si>
  <si>
    <t>Víctor Mayoral-Vilches; Luis Javier Navarrete-Lozano; Francesco Balassone; María Sanz-Gómez; Cristóbal Ricardo Veas Chávez; Maite del Mundo de Torres</t>
  </si>
  <si>
    <t>2511.05119</t>
  </si>
  <si>
    <t>Enhancing Security Operations Center: Wazuh Security Event Response with Retrieval-Augmented-Generation-Driven Copilot</t>
  </si>
  <si>
    <t>Ismail Ismail; Rahmat Kurnia; Farid Widyatama; Ilham Mirwansyah Wibawa; Zilmas Arjuna Brata; Ukasyah; Ghitha Afina Nelistiani; Howon Kim</t>
  </si>
  <si>
    <t>10.3390/s25030870</t>
  </si>
  <si>
    <t>W4407006955</t>
  </si>
  <si>
    <t>From Legacy to Standard: LLM-Assisted Transformation of Cybersecurity Playbooks into CACAO Format</t>
  </si>
  <si>
    <t>Mehdi Akbari Gurabi; Lasse Nitz; Radu-Mihai Castravet; Roman Matzutt; Avikarsha Mandal; Stefan Decker</t>
  </si>
  <si>
    <t>2508.03342</t>
  </si>
  <si>
    <t>From Vulnerability to Defense: The Role of Large Language Models in Enhancing Cybersecurity</t>
  </si>
  <si>
    <t>Wafaa Kasri; Yassine Himeur; Hamzah Ali Alkhazaleh; Saed Tarapiah; Shadi Atalla; Wathiq Mansoor; Hussain Al-Ahmad</t>
  </si>
  <si>
    <t>Computation</t>
  </si>
  <si>
    <t>10.3390/computation13020030</t>
  </si>
  <si>
    <t>W4406928793</t>
  </si>
  <si>
    <t>Generative AI revolution in cybersecurity: a comprehensive review of threat intelligence and operations</t>
  </si>
  <si>
    <t>Mueen Uddin; Muhammad Irshad; Irfan Ali Kandhro; Fuhid Alanazi; Fahad Ahmed; Muhammad Maaz; Saddam Hussain; Syed Sajid Ullah</t>
  </si>
  <si>
    <t>Artificial Intelligence Review</t>
  </si>
  <si>
    <t>28.0</t>
  </si>
  <si>
    <t>10.1007/s10462-025-11219-5</t>
  </si>
  <si>
    <t>W4410140821</t>
  </si>
  <si>
    <t>Transforming cybersecurity with agentic AI to combat emerging cyber threats</t>
  </si>
  <si>
    <t>Nir Kshetri</t>
  </si>
  <si>
    <t>Telecommunications Policy</t>
  </si>
  <si>
    <t>51.0</t>
  </si>
  <si>
    <t>10.1016/j.telpol.2025.102976</t>
  </si>
  <si>
    <t>W4409676367</t>
  </si>
  <si>
    <t>Where LLM Agents Fail and How They can Learn From Failures</t>
  </si>
  <si>
    <t>Kunlun Zhu; Zijia Liu; Bingxuan Li; Muxin Tian; Yingxuan Yang; Jiaxun Zhang; Pengrui Han; Qipeng Xie</t>
  </si>
  <si>
    <t>2509.25370</t>
  </si>
  <si>
    <t>Agentic AI and the Cyber Arms Race</t>
  </si>
  <si>
    <t>Sean Oesch; Jack Hutchins; Phillipe Austria; Amul Chaulagain</t>
  </si>
  <si>
    <t>Computer</t>
  </si>
  <si>
    <t>10.1109/MC.2025.3544116</t>
  </si>
  <si>
    <t>W4409581061</t>
  </si>
  <si>
    <t>A Research Landscape of Agentic AI and Large Language Models: Applications, Challenges and Future Directions</t>
  </si>
  <si>
    <t>Sarfraz Nawaz Brohi; Qurat-ul-ain Mastoi; N. Z. Jhanjhi; Thulasyammal Ramiah Pillai</t>
  </si>
  <si>
    <t>Algorithms</t>
  </si>
  <si>
    <t>44.0</t>
  </si>
  <si>
    <t>10.3390/a18080499</t>
  </si>
  <si>
    <t>W4413222071</t>
  </si>
  <si>
    <t>The Rise of Agentic AI: A Review of Definitions, Frameworks, Architectures, Applications, Evaluation Metrics, and Challenges</t>
  </si>
  <si>
    <t>Ajay Bandi; Bhavani Kongari; Roshini Naguru; Sahitya Pasnoor; Sri Vidya Vilipala</t>
  </si>
  <si>
    <t>Future Internet</t>
  </si>
  <si>
    <t>126.0</t>
  </si>
  <si>
    <t>10.3390/fi17090404</t>
  </si>
  <si>
    <t>W4414023998</t>
  </si>
  <si>
    <t>A Comprehensive Overview of Large Language Models (LLMs) for Cyber Defences: Opportunities and Directions</t>
  </si>
  <si>
    <t>Mohammed Hassanin; Nour Moustafa</t>
  </si>
  <si>
    <t>10.48550/arxiv.2405.14487</t>
  </si>
  <si>
    <t>W4398811296</t>
  </si>
  <si>
    <t>Application of Large Language Models in Cybersecurity: A Systematic Literature Review</t>
  </si>
  <si>
    <t>Ismayil Hasanov; Seppo Virtanen; Antti Hakkala; Jouni Isoaho</t>
  </si>
  <si>
    <t>76.0</t>
  </si>
  <si>
    <t>10.1109/access.2024.3505983</t>
  </si>
  <si>
    <t>W4404688214</t>
  </si>
  <si>
    <t>Employing LLMs for Incident Response Planning and Review</t>
  </si>
  <si>
    <t>Sam Hays; Jules White</t>
  </si>
  <si>
    <t>2403.01271</t>
  </si>
  <si>
    <t>GenDFIR: Advancing Cyber Incident Timeline Analysis Through Retrieval Augmented Generation and Large Language Models</t>
  </si>
  <si>
    <t>2409.02572</t>
  </si>
  <si>
    <t>Generative AI and Security Operations Center Productivity: Evidence from Live Operations</t>
  </si>
  <si>
    <t>James Bono; Justin Grana; Alec Xu</t>
  </si>
  <si>
    <t>2411.03116</t>
  </si>
  <si>
    <t>Understanding the Weakness of Large Language Model Agents within a Complex Android Environment</t>
  </si>
  <si>
    <t>Mingzhe Xing; Rongkai Zhang; Hui Xue; Qi Chen; Fan Yang; Zhen Xiao</t>
  </si>
  <si>
    <t>2402.06596</t>
  </si>
  <si>
    <t>Enhancing Autonomous System Security and Resilience With Generative AI: A Comprehensive Survey</t>
  </si>
  <si>
    <t>Martin Andreoni Lopez; Willian T. Lunardi; George Lawton; Shreekant Thakkar</t>
  </si>
  <si>
    <t>92.0</t>
  </si>
  <si>
    <t>10.1109/ACCESS.2024.3439363</t>
  </si>
  <si>
    <t>W4401357555</t>
  </si>
  <si>
    <t>Enhancing Cloud Security—Proactive Threat Monitoring and Detection Using a SIEM-Based Approach</t>
  </si>
  <si>
    <t>Emmanuel Tuyishime; Titus Bălan; Petru Adrian Cotfas; Daniel Tudor Cotfas; Alexandre Rekeraho</t>
  </si>
  <si>
    <t>10.3390/app132212359</t>
  </si>
  <si>
    <t>W4388694085</t>
  </si>
  <si>
    <t>The SRE Playbook: Multi-Cloud Observability, Security, and Automation</t>
  </si>
  <si>
    <t>Vijay Kartik Sikha</t>
  </si>
  <si>
    <t>Journal of Artificial Intelligence &amp; Cloud Computing</t>
  </si>
  <si>
    <t>10.47363/jaicc/2023(2)e136</t>
  </si>
  <si>
    <t>W4402095265</t>
  </si>
  <si>
    <t>Zero Touch Management: A Survey of Network Automation Solutions for 5G and 6G Networks</t>
  </si>
  <si>
    <t>Estefanía Coronado; Rasoul Behravesh; Tejas Subramanya; Adriana Fernández–Fernández; Muhammad Shuaib Siddiqui; Xavier Costa‐Pérez; Roberto Riggio</t>
  </si>
  <si>
    <t>IEEE Communications Surveys &amp; Tutorials</t>
  </si>
  <si>
    <t>176.0</t>
  </si>
  <si>
    <t>10.1109/comst.2022.3212586</t>
  </si>
  <si>
    <t>W4312924812</t>
  </si>
  <si>
    <t>Benchmarking of Machine Learning for Anomaly Based Intrusion Detection Systems in the CICIDS2017 Dataset</t>
  </si>
  <si>
    <t>Ziadoon Kamil Maseer; Robiah Yusof; Nazrulazhar Bahaman; Salama A. Mostafa; Cik Feresa Mohd Foozy</t>
  </si>
  <si>
    <t>456.0</t>
  </si>
  <si>
    <t>10.1109/access.2021.3056614</t>
  </si>
  <si>
    <t>W3126814579</t>
  </si>
  <si>
    <t>Features Dimensionality Reduction Approaches for Machine Learning Based Network Intrusion Detection</t>
  </si>
  <si>
    <t>Razan Abdulhammed; Hassan Musafer; Ali Alessa; Miad Faezipour; Abdelshakour Abuzneid</t>
  </si>
  <si>
    <t>325.0</t>
  </si>
  <si>
    <t>10.3390/electronics8030322</t>
  </si>
  <si>
    <t>W2921708219</t>
  </si>
  <si>
    <t>Autonomic Intrusion Response in Distributed Computing using Big Data</t>
  </si>
  <si>
    <t>Kleber Vieira; Fernando Koch; Joao Bosco Mangueira Sobral; Carlos Becker Westphall; Jorge Lopes de Souza Leao</t>
  </si>
  <si>
    <t>1811.05407</t>
  </si>
  <si>
    <t>An Entropy-Based Network Anomaly Detection Method</t>
  </si>
  <si>
    <t>Przemysław Bereziński; Bartosz Jasiul; Marcin Szpyrka</t>
  </si>
  <si>
    <t>Entropy</t>
  </si>
  <si>
    <t>10.3390/e17042367</t>
  </si>
  <si>
    <t>W2141910941</t>
  </si>
  <si>
    <t>A Comparative Study of Semantic Log Representations for Software Log-based Anomaly Detection</t>
  </si>
  <si>
    <t>Yuqing Wang; Ying Song; Xiaozhou Li; Nana Reinikainen; Mika V. Mäntylä</t>
  </si>
  <si>
    <t>Unclassified</t>
  </si>
  <si>
    <t>2604.08028</t>
  </si>
  <si>
    <t>Artificial intelligence driven multi agent framework for adaptive cyber attack simulation and automated incident response in cyber range environments</t>
  </si>
  <si>
    <t>Alka Agrawal; Mohd Nadeem; Ahmed Al Nuaim; Abdullah Al Nuaim</t>
  </si>
  <si>
    <t>Scientific Reports</t>
  </si>
  <si>
    <t>unscreened(no label)</t>
  </si>
  <si>
    <t>10.1038/s41598-026-45937-9</t>
  </si>
  <si>
    <t>W7151470152</t>
  </si>
  <si>
    <t>A Tutorial on Autonomous Fault-Tolerant Control Using Knowledge-Grounded LLM Agents</t>
  </si>
  <si>
    <t>Javal Vyas; Milapji Singh Gill; Artan Markaj; Felix Gehlhoff; Mehmet Mercangöz</t>
  </si>
  <si>
    <t>2606.31635</t>
  </si>
  <si>
    <t>Bian Que: An Agentic Framework with Flexible Skill Arrangement for Online System Operations</t>
  </si>
  <si>
    <t>Bochao Liu; Zhipeng Qian; Yang Zhao; Xinyuan Jiang; Zihan Liang; Yufei Ma; Junpeng Zhuang; Ben Chen</t>
  </si>
  <si>
    <t>2604.26805</t>
  </si>
  <si>
    <t>Bio-inspired Agentic Self-healing Framework for Resilient Distributed Computing Continuum Systems</t>
  </si>
  <si>
    <t>Alaa Saleh; Praveen Kumar Donta; Roberto Morabito; Sasu Tarkoma; Anders Lindgren; Qiyang Zhang; Schahram Dustdar; Susanna Pirttikangas</t>
  </si>
  <si>
    <t>2601.00339</t>
  </si>
  <si>
    <t>Context Graphs for Proactive Enterprise Agents</t>
  </si>
  <si>
    <t>Avinash Kumar</t>
  </si>
  <si>
    <t>2607.07721</t>
  </si>
  <si>
    <t>DP-FlogTinyLLM: Differentially private federated log anomaly detection using Tiny LLMs</t>
  </si>
  <si>
    <t>Isaiah Thompson; Tanmay Sen; Ritwik Bhattacharya</t>
  </si>
  <si>
    <t>2604.19118</t>
  </si>
  <si>
    <t>Empirical Study on Automation, AI Trust, and Framework Readiness in Cybersecurity Incident Response</t>
  </si>
  <si>
    <t>Olufunsho I. Falowo; Jacques Bou Abdo</t>
  </si>
  <si>
    <t>10.3390/a19010062</t>
  </si>
  <si>
    <t>W7122817681</t>
  </si>
  <si>
    <t>GALA: Graph-Augmented LLM Agents for Root Cause Analysis and Incident Response in Microservices</t>
  </si>
  <si>
    <t>Yifang Tian; Yaming Liu; Zichun Chong; Zihang Huang; Yiran Li; Hans-Arno Jacobsen</t>
  </si>
  <si>
    <t>2608.08968</t>
  </si>
  <si>
    <t>GALR: Graph-Based Root Cause Localization and LLM-Assisted Recovery for Microservice Systems</t>
  </si>
  <si>
    <t>Wenya Zhang; Zhi Yang; Fang Peng; Le Zhang; Y. Chen; Ruibo Chen</t>
  </si>
  <si>
    <t>10.3390/electronics15010243</t>
  </si>
  <si>
    <t>W7118166844</t>
  </si>
  <si>
    <t>Graph-Augmented Multi-Agent Robust Root Cause Analysis in AIOps</t>
  </si>
  <si>
    <t>Haodong Zou; Yichen Zhao; Xin Chen; Ling Wang; Jinghang Yu; Long Yuan</t>
  </si>
  <si>
    <t>Computers, materials &amp; continua/Computers, materials &amp; continua (Print)</t>
  </si>
  <si>
    <t>10.32604/cmc.2026.077908</t>
  </si>
  <si>
    <t>W7148801630</t>
  </si>
  <si>
    <t>Reliability of LLM Inference Engines from a Static Perspective: Root Cause Analysis and Repair Suggestion via Natural Language Reports</t>
  </si>
  <si>
    <t>Hongwei Li; Yongjun Wang</t>
  </si>
  <si>
    <t>Big Data and Cognitive Computing</t>
  </si>
  <si>
    <t>10.3390/bdcc10020060</t>
  </si>
  <si>
    <t>W7128793024</t>
  </si>
  <si>
    <t>Advancing Autonomous Incident Response: Leveraging LLMs and Cyber Threat Intelligence</t>
  </si>
  <si>
    <t>Amine Tellache; Abdelaziz Amara Korba; Amdjed Mokhtari; Horea Moldovan; Yacine Ghamri-Doudane</t>
  </si>
  <si>
    <t>2508.10677</t>
  </si>
  <si>
    <t>AgentFM: Role-Aware Failure Management for Distributed Databases with LLM-Driven Multi-Agents</t>
  </si>
  <si>
    <t>Lingzhe Zhang; Yunpeng Zhai; Tong Jia; Xiaosong Huang; Chiming Duan; Ying Li</t>
  </si>
  <si>
    <t>10.1145/3696630.3728492</t>
  </si>
  <si>
    <t>W4412703894</t>
  </si>
  <si>
    <t>Agentic AI for Cloud Troubleshooting: A Review of Multi Agent System for Automated Cloud Support</t>
  </si>
  <si>
    <t>Kinjal A. Patel; Eshan Pandey; Inshu Misra; Deepti Surve</t>
  </si>
  <si>
    <t>10.1109/icict64420.2025.11005005</t>
  </si>
  <si>
    <t>W4410639863</t>
  </si>
  <si>
    <t>AIOps for Reliability: Evaluating Large Language Models for Automated Root Cause Analysis in Chaos Engineering</t>
  </si>
  <si>
    <t>Tomasz Szandała</t>
  </si>
  <si>
    <t>Lecture notes in computer science</t>
  </si>
  <si>
    <t>10.1007/978-3-031-97564-6_25</t>
  </si>
  <si>
    <t>W4412055343</t>
  </si>
  <si>
    <t>ARM: Autonomous Remediation and Management With LLM Agents for Intent-Driven Control</t>
  </si>
  <si>
    <t>Vasilis Avgerinos; Kostas Ramantas; Luis Alonso; Christos Verikoukis</t>
  </si>
  <si>
    <t>IEEE Internet of Things Journal</t>
  </si>
  <si>
    <t>10.1109/JIOT.2025.3648858</t>
  </si>
  <si>
    <t>W7117292294</t>
  </si>
  <si>
    <t>A Survey of AIOps in the Era of Large Language Models</t>
  </si>
  <si>
    <t>Lingzhe Zhang; Tong Jia; Mengxi Jia; Yifan Wu; Aiwei Liu; Yong Yang; Zhonghai Wu; Xuming Hu; Philip S. Yu; Ying Li</t>
  </si>
  <si>
    <t>10.1145/3746635</t>
  </si>
  <si>
    <t>W4411735779</t>
  </si>
  <si>
    <t>A Survey on AgentOps: Categorization, Challenges, and Future Directions</t>
  </si>
  <si>
    <t>Zexin Wang; Jingjing Li; Quan Zhou; Haotian Si; Yuanhao Liu; Jianhui Li; Gaogang Xie; Fei Sun</t>
  </si>
  <si>
    <t>2508.02121</t>
  </si>
  <si>
    <t>Autonomic Microservice Management via Agentic AI and MAPE-K Integration</t>
  </si>
  <si>
    <t>Matteo Esposito; Alexander Bakhtin; Noman Ahmad; Mikel Robredo; Ruoyu Su; Valentina Lenarduzzi; Davide Taibi</t>
  </si>
  <si>
    <t>2506.22185</t>
  </si>
  <si>
    <t>Empowering AIOps: Leveraging Large Language Models for IT Operations Management</t>
  </si>
  <si>
    <t>Arthur Vitui; Tse-Hsun Chen</t>
  </si>
  <si>
    <t>2501.12461</t>
  </si>
  <si>
    <t>FVDebug: An LLM-Driven Debugging Assistant for Automated Root Cause Analysis of Formal Verification Failures</t>
  </si>
  <si>
    <t>Yunsheng Bai; Ghaith Bany Hamad; Chia-Tung Ho; Syed Suhaib; Haoxing Ren</t>
  </si>
  <si>
    <t>2510.15906</t>
  </si>
  <si>
    <t>LEMAD: LLM-Empowered Multi-Agent System for Anomaly Detection in Power Grid Services</t>
  </si>
  <si>
    <t>Xin Ji; Le Zhang; Wenya Zhang; Fang Peng; Yifan Mao; Xingchuang Liao; Kui Zhang</t>
  </si>
  <si>
    <t>10.3390/electronics14153008</t>
  </si>
  <si>
    <t>W4412904032</t>
  </si>
  <si>
    <t>Leveraging multi-agent framework for root cause analysis</t>
  </si>
  <si>
    <t>Feng Fu; Ding Hong; Yong Qin; Jian Yu; Dongchao XU</t>
  </si>
  <si>
    <t>Complex &amp; Intelligent Systems</t>
  </si>
  <si>
    <t>10.1007/s40747-025-02096-0</t>
  </si>
  <si>
    <t>W4415944773</t>
  </si>
  <si>
    <t>LLM Agentic Workflow for Automated Vulnerability Detection and Remediation in Infrastructure-as-Code</t>
  </si>
  <si>
    <t>Dheer Toprani; Vijay K. Madisetti</t>
  </si>
  <si>
    <t>10.1109/ACCESS.2025.3560911</t>
  </si>
  <si>
    <t>W4409473841</t>
  </si>
  <si>
    <t>Anomaly Detection for Incident Response at Scale</t>
  </si>
  <si>
    <t>Hanzhang Wang; Gowtham Kumar Tangirala; Gilkara Pranav Naidu; Charles Mayville; Arighna Roy; Joanne Sun; Ramesh Babu Mandava</t>
  </si>
  <si>
    <t>2404.16887</t>
  </si>
  <si>
    <t>Anomaly Detection in Internet of Things Based on Logs Using Machine Learning and Deep Learning Techniques</t>
  </si>
  <si>
    <t>Huy‐Trung Nguyen; Viet Quoc Nguyen</t>
  </si>
  <si>
    <t>10.1145/3603781.3604223</t>
  </si>
  <si>
    <t>W4385299056</t>
  </si>
  <si>
    <t>A review of SolarWinds attack on Orion platform using persistent threat agents and techniques for gaining unauthorized access</t>
  </si>
  <si>
    <t>Antigoni Kruti; Usman Butt; Rejwan Bin Sulaiman</t>
  </si>
  <si>
    <t>2308.10294</t>
  </si>
  <si>
    <t>A Study on Deep Learning Frameworks to Understand the Real Time Fault Detection and Diagnosis in IT Operations with AIOPs</t>
  </si>
  <si>
    <t>Latha Narayanan Valli; N. Sujatha; E. Joice Rathinam</t>
  </si>
  <si>
    <t>10.1109/easct59475.2023.10392382</t>
  </si>
  <si>
    <t>W4391093587</t>
  </si>
  <si>
    <t>Data Silos - A Roadblock for AIOps</t>
  </si>
  <si>
    <t>Subhadip Kumar</t>
  </si>
  <si>
    <t>10.48550/arxiv.2312.10039</t>
  </si>
  <si>
    <t>W4389981664</t>
  </si>
  <si>
    <t>Agent Transparency, Situation Awareness, Mental Workload, and Operator Performance: A Systematic Literature Review</t>
  </si>
  <si>
    <t>Koen van de Merwe; Steven Mallam; Salman Nazir</t>
  </si>
  <si>
    <t>155.0</t>
  </si>
  <si>
    <t>10.1177/00187208221077804</t>
  </si>
  <si>
    <t>W4220952823</t>
  </si>
  <si>
    <t>Anomaly Detection of System Logs Based on Natural Language Processing and Deep Learning</t>
  </si>
  <si>
    <t>Mengying Wang; Lele Xu; Lili Guo</t>
  </si>
  <si>
    <t>42.0</t>
  </si>
  <si>
    <t>10.1109/icfsp.2018.8552075</t>
  </si>
  <si>
    <t>W2903478803</t>
  </si>
  <si>
    <t>Detecting Anomaly in Big Data System Logs Using Convolutional Neural Network</t>
  </si>
  <si>
    <t>Siyang Lu; Xiang Wei; Yandong Li; Liqiang Wang</t>
  </si>
  <si>
    <t>10.1109/dasc/picom/datacom/cyberscitec.2018.00037</t>
  </si>
  <si>
    <t>W2898998129</t>
  </si>
  <si>
    <t>Row Labels</t>
  </si>
  <si>
    <t>Grand Total</t>
  </si>
  <si>
    <t>Count of title</t>
  </si>
  <si>
    <t>(Multiple Items)</t>
  </si>
  <si>
    <t>Details for Count of title - venue: ACM Computing Surveys (+)</t>
  </si>
  <si>
    <t>ID</t>
  </si>
  <si>
    <t>Título</t>
  </si>
  <si>
    <t>Venue</t>
  </si>
  <si>
    <t>DOI</t>
  </si>
  <si>
    <t>Qualis (2025-2028)</t>
  </si>
  <si>
    <t>Scopus (Percentil)</t>
  </si>
  <si>
    <t>SJR Quartile</t>
  </si>
  <si>
    <t>ISSN / e-ISSN</t>
  </si>
  <si>
    <t>Year</t>
  </si>
  <si>
    <t>Citações OpenAlex</t>
  </si>
  <si>
    <t>Citações Crossref</t>
  </si>
  <si>
    <t>Citações Scopus</t>
  </si>
  <si>
    <t>Citações (verificado em)</t>
  </si>
  <si>
    <t>P01</t>
  </si>
  <si>
    <t>Trustworthy agentic AI systems: a cross-layer review of architectures, threat models and governance strategies</t>
  </si>
  <si>
    <t>A2</t>
  </si>
  <si>
    <t>Q1</t>
  </si>
  <si>
    <t>2046-1402</t>
  </si>
  <si>
    <t>NÃO INDEXADO</t>
  </si>
  <si>
    <t>P02</t>
  </si>
  <si>
    <t>A1</t>
  </si>
  <si>
    <t>2590-0056</t>
  </si>
  <si>
    <t>P03</t>
  </si>
  <si>
    <t>A Research Landscape of Agentic AI and Large Language Models</t>
  </si>
  <si>
    <t>Q2</t>
  </si>
  <si>
    <t>1999-4893</t>
  </si>
  <si>
    <t>P04</t>
  </si>
  <si>
    <t>LLM-Based Multi-Agent Systems for Software Engineering</t>
  </si>
  <si>
    <t>ACM TRANSACTIONS ON SOFTWARE ENGINEERING AND METHODOLOGY</t>
  </si>
  <si>
    <t>1049-331X</t>
  </si>
  <si>
    <t>P05</t>
  </si>
  <si>
    <t>0360-0300</t>
  </si>
  <si>
    <t>P06</t>
  </si>
  <si>
    <t>2169-3536</t>
  </si>
  <si>
    <t>P07</t>
  </si>
  <si>
    <t>P08</t>
  </si>
  <si>
    <t>P09</t>
  </si>
  <si>
    <t>1566-2535</t>
  </si>
  <si>
    <t>P10</t>
  </si>
  <si>
    <t>Agentic AI: Autonomous Intelligence for Complex Goals — A Comprehensive Survey</t>
  </si>
  <si>
    <t>P11</t>
  </si>
  <si>
    <t>P12</t>
  </si>
  <si>
    <t>Enhancing autonomous system security and resilience with generative AI</t>
  </si>
  <si>
    <t>P13</t>
  </si>
  <si>
    <t>Retail Resilience Engine: An Agentic AI Framework for Building Reliable Retail Systems</t>
  </si>
  <si>
    <t>P14</t>
  </si>
  <si>
    <t>Transforming cybersecurity with agentic AI to combat emerging cyber threats (Kshetri)</t>
  </si>
  <si>
    <t>0308-5961</t>
  </si>
  <si>
    <t>P15</t>
  </si>
  <si>
    <t>The Rise of Agentic AI: A Review of Definitions, Frameworks, Architectures…</t>
  </si>
  <si>
    <t>1999-5903</t>
  </si>
  <si>
    <t>P16</t>
  </si>
  <si>
    <t>A Joint Study of the Challenges, Opportunities, and Roadmap of MLOps and AIOps</t>
  </si>
  <si>
    <t>10.1145/3625289</t>
  </si>
  <si>
    <t>P17</t>
  </si>
  <si>
    <t>P18</t>
  </si>
  <si>
    <t>J. Systems &amp; Software</t>
  </si>
  <si>
    <t>0164-1212</t>
  </si>
  <si>
    <t>P19</t>
  </si>
  <si>
    <t>P20</t>
  </si>
  <si>
    <t>LLM Agentic Workflow for Automated Vulnerability Detection and Remediation in IaC</t>
  </si>
  <si>
    <t>P21</t>
  </si>
  <si>
    <t>P22</t>
  </si>
  <si>
    <t>IEEE IoT Journal</t>
  </si>
  <si>
    <t>2327-4662</t>
  </si>
  <si>
    <t>P23</t>
  </si>
  <si>
    <t>TAMO: Fine-Grained Root Cause Analysis via Tool-Assisted LLM Agent</t>
  </si>
  <si>
    <t>1939-1374</t>
  </si>
  <si>
    <t>P24</t>
  </si>
  <si>
    <t>0957-4174</t>
  </si>
  <si>
    <t>P25</t>
  </si>
  <si>
    <t>2045-2322</t>
  </si>
  <si>
    <t>P26</t>
  </si>
  <si>
    <t>Surveying Root Cause Analysis Techniques: A Comprehensive Review for Multi-Service Applications</t>
  </si>
  <si>
    <t>P27</t>
  </si>
  <si>
    <t>Complex and Intelligent Systems</t>
  </si>
  <si>
    <t>2199-4536</t>
  </si>
  <si>
    <t>P28</t>
  </si>
  <si>
    <t>A Multi-Agent System for Cybersecurity Threat Detection and Correlation Using LLMs</t>
  </si>
  <si>
    <t>P29</t>
  </si>
  <si>
    <t>Intelligent Systems with Applicationsopen access</t>
  </si>
  <si>
    <t>2667-3053</t>
  </si>
  <si>
    <t>P30</t>
  </si>
  <si>
    <t>Reliability of LLM Inference Engines from a Static Perspective: RCA and Repair Suggestion</t>
  </si>
  <si>
    <t>2504-2289</t>
  </si>
  <si>
    <t>P31</t>
  </si>
  <si>
    <t>2079-9292</t>
  </si>
  <si>
    <t>P32</t>
  </si>
  <si>
    <t>GALR: Graph-Based Root Cause Localization and LLM-Assisted Recovery for Microservices</t>
  </si>
  <si>
    <t>P33</t>
  </si>
  <si>
    <t>P34</t>
  </si>
  <si>
    <t>1615-5270</t>
  </si>
  <si>
    <t>P35</t>
  </si>
  <si>
    <t>Computers, Materials and Continua</t>
  </si>
  <si>
    <t>1546-2218</t>
  </si>
  <si>
    <t>P37</t>
  </si>
  <si>
    <t>P38</t>
  </si>
  <si>
    <t>Multi-Agent Coordination Strategies vs. RAG in LLMs: A Comparative Evaluation</t>
  </si>
  <si>
    <t>P39</t>
  </si>
  <si>
    <t>IEEE Computer</t>
  </si>
  <si>
    <t>A3</t>
  </si>
  <si>
    <t>0018-9162</t>
  </si>
  <si>
    <t>P40</t>
  </si>
  <si>
    <t>A Comprehensive Survey on LLM-Based Network Management and Operations</t>
  </si>
  <si>
    <t>1055-7148</t>
  </si>
  <si>
    <t>Classificados</t>
  </si>
  <si>
    <t>1551-3203</t>
  </si>
  <si>
    <t>https://www.scopus.com/sources.uri</t>
  </si>
  <si>
    <t>Source title</t>
  </si>
  <si>
    <t>CiteScore</t>
  </si>
  <si>
    <t>Highest percentile</t>
  </si>
  <si>
    <t>2022-25 Citations</t>
  </si>
  <si>
    <t>2022-25 Documents</t>
  </si>
  <si>
    <t>% Cited</t>
  </si>
  <si>
    <t>SNIP</t>
  </si>
  <si>
    <t>SJR</t>
  </si>
  <si>
    <t>Publisher</t>
  </si>
  <si>
    <t>99.0%
1/241
General Computer Science</t>
  </si>
  <si>
    <t>Association for Computing Machinery</t>
  </si>
  <si>
    <t>99.0%
1/203
Signal Processing</t>
  </si>
  <si>
    <t>Elsevier</t>
  </si>
  <si>
    <t>98.0%
10/519
Information Systems</t>
  </si>
  <si>
    <t>IEEE</t>
  </si>
  <si>
    <t>97.0%
10/351
General Engineering</t>
  </si>
  <si>
    <t>93.0%
17/245
Hardware and Architecture</t>
  </si>
  <si>
    <t>97.0%
14/541
Communication</t>
  </si>
  <si>
    <t>89.0%
53/503
Software</t>
  </si>
  <si>
    <t>86.0%
32/241
General Computer Science</t>
  </si>
  <si>
    <t>88.0%
65/568
Computer Networks and Communications</t>
  </si>
  <si>
    <t>Multidisciplinary Digital Publishing Institute (MDPI)</t>
  </si>
  <si>
    <t>84.0%
34/212
Computational Mathematics</t>
  </si>
  <si>
    <t>79.0%
139/692
Arts and Humanities (miscellaneous)</t>
  </si>
  <si>
    <t>Taylor &amp; Francis</t>
  </si>
  <si>
    <t>2026-09-06 12:28 (GMT-3)</t>
  </si>
  <si>
    <t>IEEE Communications Surveys and Tutorials</t>
  </si>
  <si>
    <t>99.0%
1/1030
Electrical and Electronic Engineering</t>
  </si>
  <si>
    <t>99.0%
1/1221
Linguistics and Language</t>
  </si>
  <si>
    <t>Springer Nature</t>
  </si>
  <si>
    <t>98.0%
2/143
Automotive Engineering</t>
  </si>
  <si>
    <t>96.0%
17/503
Software</t>
  </si>
  <si>
    <t>99.0%
2/397
Modeling and Simulation</t>
  </si>
  <si>
    <t>Chinese Academy of Sciences</t>
  </si>
  <si>
    <t>IEEE Transactions on Software Engineering</t>
  </si>
  <si>
    <t>92.0%
36/503
Software</t>
  </si>
  <si>
    <t>Computers and Industrial Engineering</t>
  </si>
  <si>
    <t>96.0%
12/351
General Engineering</t>
  </si>
  <si>
    <t>93.0%
12/179
Computer Science (miscellaneous)</t>
  </si>
  <si>
    <t>93.0%
64/1030
Electrical and Electronic Engineering</t>
  </si>
  <si>
    <t>93.0%
13/203
Computational Theory and Mathematics</t>
  </si>
  <si>
    <t>Frontiers of Computer Science</t>
  </si>
  <si>
    <t>97.0%
6/198
Control and Optimization</t>
  </si>
  <si>
    <t>87.0%
130/1022
Computer Science Applications</t>
  </si>
  <si>
    <t>JMIR Publications Inc.</t>
  </si>
  <si>
    <t>88.0%
29/245
Hardware and Architecture</t>
  </si>
  <si>
    <t>92.0%
24/296
Library and Information Sciences</t>
  </si>
  <si>
    <t>91.0%
19/206
Instrumentation</t>
  </si>
  <si>
    <t>Physical Review D</t>
  </si>
  <si>
    <t>93.0%
7/97
Nuclear and High Energy Physics</t>
  </si>
  <si>
    <t>American Physical Society</t>
  </si>
  <si>
    <t>85.0%
27/179
Computer Science (miscellaneous)</t>
  </si>
  <si>
    <t>IEEE Open Journal of Vehicular Technology</t>
  </si>
  <si>
    <t>84.0%
22/143
Automotive Engineering</t>
  </si>
  <si>
    <t>95.0%
10/198
Control and Optimization</t>
  </si>
  <si>
    <t>Cognition, Technology and Work</t>
  </si>
  <si>
    <t>99.0%
9/891
Philosophy</t>
  </si>
  <si>
    <t>79.0%
108/519
Information Systems</t>
  </si>
  <si>
    <t>Autonomous Agents and Multi-Agent Systems</t>
  </si>
  <si>
    <t>76.0%
137/570
Artificial Intelligence</t>
  </si>
  <si>
    <t>74.0%
29/112
General Neuroscience</t>
  </si>
  <si>
    <t>Frontiers Media S.A.</t>
  </si>
  <si>
    <t xml:space="preserve">87.0%
29/223
</t>
  </si>
  <si>
    <t>82.0%
18/99
Fluid Flow and Transfer Processes</t>
  </si>
  <si>
    <t>60.0%
42/106
Chemical Engineering (miscellaneous)</t>
  </si>
  <si>
    <t>76.0%
66/282
Safety, Risk, Reliability and Quality</t>
  </si>
  <si>
    <t>John Wiley &amp; Sons</t>
  </si>
  <si>
    <t>92.0%
33/414
General Mathematics</t>
  </si>
  <si>
    <t>83.0%
36/212
Computational Mathematics</t>
  </si>
  <si>
    <t>85.0%
101/680
Applied Mathematics</t>
  </si>
  <si>
    <t>Journal of Universal Computer Science</t>
  </si>
  <si>
    <t>47.0%
71/135
Theoretical Computer Science</t>
  </si>
  <si>
    <t>Technische Universitat Graz from Austria</t>
  </si>
  <si>
    <t>0098-5589</t>
  </si>
  <si>
    <t>1387-2532</t>
  </si>
  <si>
    <t>2644-1330</t>
  </si>
  <si>
    <t>2224-2708</t>
  </si>
  <si>
    <t>0948-695X</t>
  </si>
  <si>
    <t>1687-5265</t>
  </si>
  <si>
    <t>1435-5558</t>
  </si>
  <si>
    <t>0748-8017</t>
  </si>
  <si>
    <t>2576-0017</t>
  </si>
  <si>
    <t>1521-1398</t>
  </si>
  <si>
    <t>0824-7935</t>
  </si>
  <si>
    <t>2227-9717</t>
  </si>
  <si>
    <t>2624-800X</t>
  </si>
  <si>
    <t>0269-2821</t>
  </si>
  <si>
    <t>1524-9050</t>
  </si>
  <si>
    <t>1438-8871</t>
  </si>
  <si>
    <t>2078-2489</t>
  </si>
  <si>
    <t>2079-3197</t>
  </si>
  <si>
    <t>2095-2228</t>
  </si>
  <si>
    <t>1545-5971</t>
  </si>
  <si>
    <t>1996-1073</t>
  </si>
  <si>
    <t>0360-8352</t>
  </si>
  <si>
    <t>2227-7390</t>
  </si>
  <si>
    <t>1553-877X</t>
  </si>
  <si>
    <t>2666-8270</t>
  </si>
  <si>
    <t>1617-4909</t>
  </si>
  <si>
    <t>1662-453X</t>
  </si>
  <si>
    <t>0956-5515</t>
  </si>
  <si>
    <t>1424-8220</t>
  </si>
  <si>
    <t>2470-0010</t>
  </si>
  <si>
    <t>2731-538X</t>
  </si>
  <si>
    <t>2076-3417</t>
  </si>
  <si>
    <t>Q3</t>
  </si>
  <si>
    <t>Sem Classificação</t>
  </si>
  <si>
    <t>ISSN</t>
  </si>
  <si>
    <t>SJR Site Details</t>
  </si>
  <si>
    <t>91.0%
31/351
General Engineering</t>
  </si>
  <si>
    <t>83.0%
35/203
Signal Processing</t>
  </si>
  <si>
    <t>86.0%
25/179
Computer Science (miscellaneous)</t>
  </si>
  <si>
    <t>2073-431X</t>
  </si>
  <si>
    <t>Cognition Technology and Work</t>
  </si>
  <si>
    <t>Physical review D</t>
  </si>
  <si>
    <t>75.0%
45/183
Computer Vision and Pattern Recognition</t>
  </si>
  <si>
    <t>2624-9898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</si>
</sst>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b/>
      <sz val="11"/>
      <color rgb="FF002060"/>
      <name val="Helvetica Neue"/>
      <family val="2"/>
      <scheme val="minor"/>
    </font>
    <font>
      <sz val="10"/>
      <color rgb="FFFF0000"/>
      <name val="Helvetica Neue"/>
      <family val="2"/>
    </font>
    <font>
      <sz val="11"/>
      <color rgb="FF000000"/>
      <name val="Aptos Narrow"/>
      <family val="2"/>
    </font>
    <font>
      <sz val="8"/>
      <name val="Helvetica Neue"/>
      <family val="2"/>
    </font>
    <font>
      <b/>
      <sz val="11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theme="2"/>
        <bgColor indexed="64"/>
      </patternFill>
    </fill>
  </fills>
  <borders count="1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</borders>
  <cellStyleXfs count="2">
    <xf numFmtId="0" fontId="0" fillId="0" borderId="0" applyNumberFormat="0" applyFill="0" applyBorder="0" applyProtection="0">
      <alignment vertical="top" wrapText="1"/>
    </xf>
    <xf numFmtId="9" fontId="3" fillId="0" borderId="0" applyFont="0" applyFill="0" applyBorder="0" applyAlignment="0" applyProtection="0"/>
  </cellStyleXfs>
  <cellXfs count="43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Border="1" applyAlignment="1">
      <alignment vertical="top"/>
    </xf>
    <xf numFmtId="49" fontId="2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  <xf numFmtId="0" fontId="0" fillId="0" borderId="8" xfId="0" pivotButton="1" applyBorder="1">
      <alignment vertical="top" wrapText="1"/>
    </xf>
    <xf numFmtId="0" fontId="0" fillId="0" borderId="10" xfId="0" applyBorder="1">
      <alignment vertical="top" wrapText="1"/>
    </xf>
    <xf numFmtId="0" fontId="0" fillId="0" borderId="8" xfId="0" applyBorder="1" applyAlignment="1">
      <alignment horizontal="left" vertical="top" wrapText="1"/>
    </xf>
    <xf numFmtId="0" fontId="0" fillId="0" borderId="10" xfId="0" applyNumberFormat="1" applyBorder="1">
      <alignment vertical="top" wrapText="1"/>
    </xf>
    <xf numFmtId="0" fontId="0" fillId="0" borderId="9" xfId="0" applyBorder="1" applyAlignment="1">
      <alignment horizontal="left" vertical="top" wrapText="1"/>
    </xf>
    <xf numFmtId="0" fontId="0" fillId="0" borderId="11" xfId="0" applyNumberFormat="1" applyBorder="1">
      <alignment vertical="top" wrapText="1"/>
    </xf>
    <xf numFmtId="0" fontId="0" fillId="0" borderId="13" xfId="0" applyBorder="1" applyAlignment="1">
      <alignment horizontal="left" vertical="top" wrapText="1"/>
    </xf>
    <xf numFmtId="0" fontId="0" fillId="0" borderId="12" xfId="0" applyNumberFormat="1" applyBorder="1">
      <alignment vertical="top" wrapText="1"/>
    </xf>
    <xf numFmtId="0" fontId="0" fillId="0" borderId="12" xfId="0" pivotButton="1" applyBorder="1">
      <alignment vertical="top" wrapText="1"/>
    </xf>
    <xf numFmtId="0" fontId="0" fillId="0" borderId="12" xfId="0" applyBorder="1">
      <alignment vertical="top" wrapText="1"/>
    </xf>
    <xf numFmtId="0" fontId="2" fillId="0" borderId="0" xfId="0" applyFont="1">
      <alignment vertical="top" wrapText="1"/>
    </xf>
    <xf numFmtId="0" fontId="5" fillId="0" borderId="0" xfId="0" applyFont="1">
      <alignment vertical="top" wrapText="1"/>
    </xf>
    <xf numFmtId="0" fontId="4" fillId="0" borderId="0" xfId="0" applyFont="1">
      <alignment vertical="top" wrapText="1"/>
    </xf>
    <xf numFmtId="9" fontId="4" fillId="0" borderId="0" xfId="0" applyNumberFormat="1" applyFont="1">
      <alignment vertical="top" wrapText="1"/>
    </xf>
    <xf numFmtId="14" fontId="4" fillId="0" borderId="0" xfId="0" applyNumberFormat="1" applyFont="1">
      <alignment vertical="top" wrapText="1"/>
    </xf>
    <xf numFmtId="9" fontId="5" fillId="0" borderId="0" xfId="1" applyFont="1" applyAlignment="1">
      <alignment vertical="top" wrapText="1"/>
    </xf>
    <xf numFmtId="9" fontId="0" fillId="0" borderId="0" xfId="1" applyFont="1" applyAlignment="1">
      <alignment vertical="top" wrapText="1"/>
    </xf>
    <xf numFmtId="0" fontId="1" fillId="0" borderId="0" xfId="0" applyFont="1" applyAlignment="1">
      <alignment horizontal="center" vertical="center"/>
    </xf>
    <xf numFmtId="0" fontId="3" fillId="0" borderId="0" xfId="0" applyFont="1">
      <alignment vertical="top" wrapText="1"/>
    </xf>
    <xf numFmtId="0" fontId="0" fillId="0" borderId="0" xfId="0" applyAlignment="1"/>
    <xf numFmtId="0" fontId="3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0" fillId="0" borderId="0" xfId="0" applyAlignment="1">
      <alignment vertical="center"/>
    </xf>
    <xf numFmtId="0" fontId="7" fillId="0" borderId="0" xfId="0" applyFont="1">
      <alignment vertical="top" wrapText="1"/>
    </xf>
    <xf numFmtId="0" fontId="8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10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/>
  </cellXfs>
  <cellStyles count="2">
    <cellStyle name="Normal" xfId="0" builtinId="0"/>
    <cellStyle name="Percent" xfId="1" builtinId="5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ldomiro Souza" refreshedDate="46259.858258101849" createdVersion="8" refreshedVersion="8" minRefreshableVersion="3" recordCount="340" xr:uid="{1EF5A2C1-CDAB-E840-94CC-D38AFC973DD4}">
  <cacheSource type="worksheet">
    <worksheetSource ref="A2:L342" sheet="Sheet 1 - agentic_ir_corpus (1)"/>
  </cacheSource>
  <cacheFields count="12">
    <cacheField name="title" numFmtId="49">
      <sharedItems/>
    </cacheField>
    <cacheField name="authors" numFmtId="49">
      <sharedItems longText="1"/>
    </cacheField>
    <cacheField name="year" numFmtId="0">
      <sharedItems containsSemiMixedTypes="0" containsString="0" containsNumber="1" containsInteger="1" minValue="2010" maxValue="2026"/>
    </cacheField>
    <cacheField name="venue" numFmtId="0">
      <sharedItems containsBlank="1" count="83">
        <s v="arXiv"/>
        <s v="IEEE Access"/>
        <s v="Information Fusion"/>
        <s v="Expert Systems with Applications"/>
        <s v="ACM Transactions on Software Engineering and Methodology"/>
        <m/>
        <s v="IEEE Open Journal of Vehicular Technology, vol. 7, pp. 1873-1883, 2026"/>
        <s v="Applied Sciences"/>
        <s v="Energies"/>
        <s v="Cognition Technology &amp; Work"/>
        <s v="Information"/>
        <s v="Human Factors The Journal of the Human Factors and Ergonomics Society"/>
        <s v="arXiv (Cornell University)"/>
        <s v="IEEE Transactions on Intelligent Transportation Systems"/>
        <s v="Springer ICSOC LNCS 12632 (2020) 214-227"/>
        <s v="Autonomous Agents and Multi-Agent Systems, 35(1), 6 (2020)"/>
        <s v="Frontiers in Computer Science"/>
        <s v="IEEE Transactions on Industrial Informatics"/>
        <s v="Electronics"/>
        <s v="Quality and Reliability Engineering International"/>
        <s v="Personal and Ubiquitous Computing"/>
        <s v="Journal of Medical Internet Research"/>
        <s v="conference-paper"/>
        <s v="Scientific Reports 15, 45698 (2025)"/>
        <s v="Machine Intelligence Research"/>
        <s v="ACM Computing Surveys"/>
        <s v="Machine Learning with Applications"/>
        <s v="Computational Intelligence"/>
        <s v="Sensors"/>
        <s v="Computational Intelligence and Neuroscience"/>
        <s v="Mathematics"/>
        <s v="Journal of Intelligent Manufacturing"/>
        <s v="TURKISH JOURNAL OF ELECTRICAL ENGINEERING &amp; COMPUTER SCIENCES"/>
        <s v="International Journal of Computer Vision"/>
        <s v="IEEE Transactions on Dependable and Secure Computing"/>
        <s v="Physical review. D/Physical review. D."/>
        <s v="IEEE Transactions on Services Computing"/>
        <s v="Frontiers in Neuroscience"/>
        <s v="IEEE Transactions on Network and Service Management"/>
        <s v="IEEE Transactions on Neural Networks and Learning Systems"/>
        <s v="Journal of Intelligent &amp; Robotic Systems"/>
        <s v="Processes"/>
        <s v="Zenodo (CERN European Organization for Nuclear Research)"/>
        <s v="Journal of Sensor and Actuator Networks"/>
        <s v="B. Wu, S. Wang, Y. Liu, Y. -Q. Zhang, J. Sifakis and Y. Ouyang, &quot;From Automated to Autonomous: Hierarchical Agent-native Network Architecture (HANA),&quot; in IEEE Networking Letters, 2026"/>
        <s v="International Journal of Network Management"/>
        <s v="Journal of International Crisis and Risk Communication Research"/>
        <s v="Intelligent Systems with Applications"/>
        <s v="International Journal of Innovative Research in Computer Science &amp; Technology"/>
        <s v="Computers"/>
        <s v="International Journal of Advances in Signal and Image Sciences"/>
        <s v="Journal of Computational Analysis and Applications"/>
        <s v="F1000Research"/>
        <s v="Proceedings of the AAAI Conference on Artificial Intelligence"/>
        <s v="Array"/>
        <s v="International Journal of Scientific Research and Management (IJSRM)"/>
        <s v="International Journal of Scientific Research in Computer Science Engineering and Information Technology"/>
        <s v="International Journal For Multidisciplinary Research"/>
        <s v="Journal of Systems and Software"/>
        <s v="International Journal of AI BigData Computational and Management Studies"/>
        <s v="IEEE Transactions on Software Engineering, Jul. 2025, pp. 1950-1968, vol. 51"/>
        <s v="World Journal of Advanced Research and Reviews"/>
        <s v="JUCS - Journal of Universal Computer Science"/>
        <s v="Computers &amp; Industrial Engineering"/>
        <s v="2021 International Conference on Information and Communication Technology Convergence (ICTC)"/>
        <s v="Journal of Cybersecurity and Privacy"/>
        <s v="International Journal of Information Security"/>
        <s v="International Journal of Emerging Research in Engineering and Technology"/>
        <s v="Computation"/>
        <s v="Artificial Intelligence Review"/>
        <s v="Telecommunications Policy"/>
        <s v="Computer"/>
        <s v="Algorithms"/>
        <s v="Future Internet"/>
        <s v="Journal of Artificial Intelligence &amp; Cloud Computing"/>
        <s v="IEEE Communications Surveys &amp; Tutorials"/>
        <s v="Entropy"/>
        <s v="Scientific Reports"/>
        <s v="Computers, materials &amp; continua/Computers, materials &amp; continua (Print)"/>
        <s v="Big Data and Cognitive Computing"/>
        <s v="Lecture notes in computer science"/>
        <s v="IEEE Internet of Things Journal"/>
        <s v="Complex &amp; Intelligent Systems"/>
      </sharedItems>
    </cacheField>
    <cacheField name="cluster" numFmtId="49">
      <sharedItems count="10">
        <s v="Agent foundations"/>
        <s v="Alert triage &amp; correlation"/>
        <s v="Automated remediation"/>
        <s v="Benchmarks &amp; evaluation"/>
        <s v="Detection (classical ML)"/>
        <s v="Human factors"/>
        <s v="LLM / agentic ops"/>
        <s v="Root-cause analysis"/>
        <s v="Security IR / SOC"/>
        <s v="Unclassified"/>
      </sharedItems>
    </cacheField>
    <cacheField name="paper_type" numFmtId="49">
      <sharedItems/>
    </cacheField>
    <cacheField name="citations" numFmtId="0">
      <sharedItems containsBlank="1"/>
    </cacheField>
    <cacheField name="doi" numFmtId="0">
      <sharedItems containsBlank="1"/>
    </cacheField>
    <cacheField name="arxiv_or_openalex_id" numFmtId="0">
      <sharedItems containsBlank="1"/>
    </cacheField>
    <cacheField name="in_your_seed_set" numFmtId="0">
      <sharedItems containsSemiMixedTypes="0" containsString="0" containsNumber="1" containsInteger="1" minValue="0" maxValue="1"/>
    </cacheField>
    <cacheField name="is_landmark" numFmtId="0">
      <sharedItems containsSemiMixedTypes="0" containsString="0" containsNumber="1" containsInteger="1" minValue="0" maxValue="1"/>
    </cacheField>
    <cacheField name="src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0">
  <r>
    <s v="AgentTrace: A Structured Logging Framework for Agent System Observability"/>
    <s v="Adam AlSayyad; Kelvin Yuxiang Huang; Richik Pal"/>
    <n v="2026"/>
    <x v="0"/>
    <x v="0"/>
    <s v="survey/position"/>
    <m/>
    <m/>
    <s v="2602.10133"/>
    <n v="0"/>
    <n v="0"/>
    <s v="arxiv"/>
  </r>
  <r>
    <s v="Entropy-Based Observability for AI Agent Behavior"/>
    <s v="Olasimbo Ayodeji Arigbabu"/>
    <n v="2026"/>
    <x v="0"/>
    <x v="0"/>
    <s v="survey/position"/>
    <m/>
    <m/>
    <s v="2606.05872"/>
    <n v="0"/>
    <n v="0"/>
    <s v="arxiv"/>
  </r>
  <r>
    <s v="From LLM Reasoning to Autonomous AI Agents: A Comprehensive Review"/>
    <s v="Mohamed Amine Ferrag; Norbert Tihanyi; Mérouane Debbah"/>
    <n v="2026"/>
    <x v="1"/>
    <x v="0"/>
    <s v="survey/position"/>
    <s v="7.0"/>
    <s v="10.1109/access.2026.3698694"/>
    <s v="W4416982487"/>
    <n v="0"/>
    <n v="0"/>
    <s v="openalex"/>
  </r>
  <r>
    <s v="When Errors Become Narratives: A Longitudinal Taxonomy of Silent Failures in a Production LLM Agent Runtime"/>
    <s v="Wei Wu"/>
    <n v="2026"/>
    <x v="0"/>
    <x v="0"/>
    <s v="unscreened(rule-classified)"/>
    <m/>
    <m/>
    <s v="2606.14589"/>
    <n v="0"/>
    <n v="0"/>
    <s v="arxiv"/>
  </r>
  <r>
    <s v="AGENTSAFE: A Unified Framework for Ethical Assurance and Governance in Agentic AI"/>
    <s v="Rafflesia Khan; Declan Joyce; Mansura Habiba"/>
    <n v="2025"/>
    <x v="0"/>
    <x v="0"/>
    <s v="survey/position"/>
    <m/>
    <m/>
    <s v="2512.03180"/>
    <n v="0"/>
    <n v="0"/>
    <s v="arxiv"/>
  </r>
  <r>
    <s v="AI Agents vs. Agentic AI: A Conceptual taxonomy, applications and challenges"/>
    <s v="Ranjan Sapkota; Konstantinos I. Roumeliotis; Manoj Karkee"/>
    <n v="2025"/>
    <x v="2"/>
    <x v="0"/>
    <s v="survey/position"/>
    <s v="169.0"/>
    <s v="10.1016/j.inffus.2025.103599"/>
    <s v="W4413427262"/>
    <n v="1"/>
    <n v="0"/>
    <s v="openalex"/>
  </r>
  <r>
    <s v="Telemetry and Agentic AI: Foundations for Optical Network Automation"/>
    <s v="Sergio Cruzes"/>
    <n v="2025"/>
    <x v="1"/>
    <x v="0"/>
    <s v="unscreened(rule-classified)"/>
    <s v="3.0"/>
    <s v="10.1109/access.2025.3649768"/>
    <s v="W7117556955"/>
    <n v="0"/>
    <n v="0"/>
    <s v="openalex"/>
  </r>
  <r>
    <s v="AgentAI: A comprehensive survey on autonomous agents in distributed AI for industry 4.0"/>
    <s v="Francesco Piccialli; Diletta Chiaro; Sundas Sarwar; Donato Cerciello; Pian Qi; Valeria Mele"/>
    <n v="2025"/>
    <x v="3"/>
    <x v="0"/>
    <s v="unscreened(rule-classified)"/>
    <s v="59.0"/>
    <s v="10.1016/j.eswa.2025.128404"/>
    <s v="W4410954314"/>
    <n v="1"/>
    <n v="0"/>
    <s v="openalex"/>
  </r>
  <r>
    <s v="LLM-Based Multi-Agent Systems for Software Engineering: Literature Review, Vision, and the Road Ahead"/>
    <s v="Junda He; Christoph Treude; David Lo"/>
    <n v="2025"/>
    <x v="4"/>
    <x v="0"/>
    <s v="unscreened(rule-classified)"/>
    <s v="177.0"/>
    <s v="10.1145/3712003"/>
    <s v="W4406325768"/>
    <n v="1"/>
    <n v="0"/>
    <s v="openalex"/>
  </r>
  <r>
    <s v="Small Language Model Agent for the Operations of Continuously Updating ICT Systems"/>
    <s v="Nobukazu Fukuda; Haruhisa Nozue; Haruo Oishi"/>
    <n v="2025"/>
    <x v="1"/>
    <x v="0"/>
    <s v="unscreened(rule-classified)"/>
    <s v="0.0"/>
    <s v="10.1109/ACCESS.2025.3544637"/>
    <s v="W4407900333"/>
    <n v="1"/>
    <n v="0"/>
    <s v="openalex"/>
  </r>
  <r>
    <s v="AgentOps: Enabling Observability of LLM Agents"/>
    <s v="Liming Dong; Qinghua Lu; Liming Zhu"/>
    <n v="2024"/>
    <x v="0"/>
    <x v="0"/>
    <s v="survey/position"/>
    <m/>
    <m/>
    <s v="2411.05285"/>
    <n v="0"/>
    <n v="0"/>
    <s v="arxiv"/>
  </r>
  <r>
    <s v="Co-Evolving Multi-Agent Transfer Reinforcement Learning via Scenario Independent Representation"/>
    <s v="Ayesha Siddiqua; Siming Liu; Ayesha Siddika Nipu; Anthony M. Harris; Yan Liu"/>
    <n v="2024"/>
    <x v="1"/>
    <x v="0"/>
    <s v="unscreened(rule-classified)"/>
    <s v="9.0"/>
    <s v="10.1109/ACCESS.2024.3430037"/>
    <s v="W4400726849"/>
    <n v="1"/>
    <n v="0"/>
    <s v="openalex"/>
  </r>
  <r>
    <s v="Building AI Agents for Autonomous Clouds: Challenges and Design Principles"/>
    <s v="Manish Shetty; Yinfang Chen; Gagan Somashekar; Minghua Ma"/>
    <n v="2024"/>
    <x v="5"/>
    <x v="0"/>
    <s v="systems/empirical"/>
    <s v="27.0"/>
    <s v="10.1145/3698038.3698525"/>
    <m/>
    <n v="0"/>
    <n v="1"/>
    <s v="landmark"/>
  </r>
  <r>
    <s v="Agent System Mining: Vision, Benefits, and Challenges"/>
    <s v="Andrei Tour; Artem Polyvyanyy; Anna Kalenkova"/>
    <n v="2021"/>
    <x v="1"/>
    <x v="0"/>
    <s v="unscreened(rule-classified)"/>
    <s v="32.0"/>
    <s v="10.1109/ACCESS.2021.3095464"/>
    <s v="W3180674049"/>
    <n v="1"/>
    <n v="0"/>
    <s v="openalex"/>
  </r>
  <r>
    <s v="Artificial Empathy: A New Perspective for Analyzing and Designing Multi-Agent Systems"/>
    <s v="Jize Chen; Dali Zhang; Zhenshen Qu; Changhong Wang"/>
    <n v="2020"/>
    <x v="1"/>
    <x v="0"/>
    <s v="unscreened(rule-classified)"/>
    <s v="10.0"/>
    <s v="10.1109/ACCESS.2020.3029502"/>
    <s v="W3092406976"/>
    <n v="1"/>
    <n v="0"/>
    <s v="openalex"/>
  </r>
  <r>
    <s v="AlertGuardian: Intelligent Alert Life-Cycle Management for Large-scale Cloud Systems"/>
    <s v="Guangba Yu; Genting Mai; Rui Wang; Ruipeng Li; Pengfei Chen; Long Pan; Ruijie Xu"/>
    <n v="2026"/>
    <x v="0"/>
    <x v="1"/>
    <s v="systems/empirical"/>
    <m/>
    <m/>
    <s v="2601.14912"/>
    <n v="0"/>
    <n v="0"/>
    <s v="arxiv"/>
  </r>
  <r>
    <s v="ConceptRM: The Quest to Mitigate Alert Fatigue through Consensus-Based Purity-Driven Data Cleaning for Reflection Modelling"/>
    <s v="Yongda Yu; Lei Zhang; Xinxin Guo; Minghui Yu; Zhengqi Zhuang; Guoping Rong; Haifeng Shen; Zhengfeng Li"/>
    <n v="2026"/>
    <x v="0"/>
    <x v="1"/>
    <s v="systems/empirical"/>
    <m/>
    <m/>
    <s v="2602.20166"/>
    <n v="0"/>
    <n v="0"/>
    <s v="arxiv"/>
  </r>
  <r>
    <s v="Cybersecurity Detection Classification with Reasoning-enabled Language Models"/>
    <s v="Amol Khanna; Manu Nandan; Cristian Viorel Popa; Joan Pujol-Roig; Diana Bolocan; Laura Vasilie; Alexandru Apostu; Chase Helwig"/>
    <n v="2026"/>
    <x v="0"/>
    <x v="1"/>
    <s v="systems/empirical"/>
    <m/>
    <m/>
    <s v="2607.28460"/>
    <n v="0"/>
    <n v="0"/>
    <s v="arxiv"/>
  </r>
  <r>
    <s v="Understanding npm Developers' Practices, Challenges, and Recommendations for Secure Package Development"/>
    <s v="Anthony Peruma; Truman Choy; Gerald Lee; Italo De Oliveira Santos"/>
    <n v="2026"/>
    <x v="0"/>
    <x v="1"/>
    <s v="unscreened(rule-classified)"/>
    <m/>
    <s v="10.1145/3794860.3794908"/>
    <s v="2601.20240"/>
    <n v="0"/>
    <n v="0"/>
    <s v="arxiv"/>
  </r>
  <r>
    <s v="VAGNet: Vision-based Accident Anticipation with Global Features"/>
    <s v="Vipooshan Vipulananthan; Charith D. Chitraranjan"/>
    <n v="2026"/>
    <x v="6"/>
    <x v="1"/>
    <s v="unscreened(rule-classified)"/>
    <m/>
    <s v="10.1109/ojvt.2026.3704953"/>
    <s v="2604.09305"/>
    <n v="0"/>
    <n v="0"/>
    <s v="arxiv"/>
  </r>
  <r>
    <s v="vEcho: A Paradigm Shift from Vulnerability Verification to Proactive Discovery with Large Language Models"/>
    <s v="Mingcheng Jiang; Jiancheng Huang; Jiangfei Wang; Zhengzhu Xie; Nan Fang; Guang Cheng; Xiaoyan Hu; Hua Wu"/>
    <n v="2026"/>
    <x v="0"/>
    <x v="1"/>
    <s v="unscreened(rule-classified)"/>
    <m/>
    <m/>
    <s v="2603.01154"/>
    <n v="0"/>
    <n v="0"/>
    <s v="arxiv"/>
  </r>
  <r>
    <s v="A Large-Scale Collection Of (Non-)Actionable Static Code Analysis Reports"/>
    <s v="Dávid Kószó; Tamás Aladics; Rudolf Ferenc; Péter Hegedűs"/>
    <n v="2025"/>
    <x v="0"/>
    <x v="1"/>
    <s v="systems/empirical"/>
    <m/>
    <m/>
    <s v="2511.10323"/>
    <n v="0"/>
    <n v="0"/>
    <s v="arxiv"/>
  </r>
  <r>
    <s v="Triage in Software Engineering: A Systematic Review of Research and Practice"/>
    <s v="Yongxin Zhao; Shenglin Zhang; Yujia Wu; Yuxin Sun; Yongqian Sun; Dan Pei; Chetan Bansal; Minghua Ma"/>
    <n v="2025"/>
    <x v="0"/>
    <x v="1"/>
    <s v="unscreened(rule-classified)"/>
    <m/>
    <m/>
    <s v="2511.08607"/>
    <n v="0"/>
    <n v="0"/>
    <s v="arxiv"/>
  </r>
  <r>
    <s v="When not to help: planning for lasting human-AI collaboration"/>
    <s v="Mark Steyvers; Lukas Mayer"/>
    <n v="2025"/>
    <x v="0"/>
    <x v="1"/>
    <s v="unscreened(rule-classified)"/>
    <m/>
    <m/>
    <s v="2508.01837"/>
    <n v="0"/>
    <n v="0"/>
    <s v="arxiv"/>
  </r>
  <r>
    <s v="FaultProfIT: Hierarchical Fault Profiling of Incident Tickets in Large-scale Cloud Systems"/>
    <s v="Junjie Huang; Jinyang Liu; Zhuangbin Chen; Zhihan Jiang"/>
    <n v="2024"/>
    <x v="5"/>
    <x v="1"/>
    <s v="systems/empirical"/>
    <s v="11.0"/>
    <s v="10.1145/3639477.3639754"/>
    <m/>
    <n v="0"/>
    <n v="1"/>
    <s v="landmark"/>
  </r>
  <r>
    <s v="AI-Assisted Security Alert Data Analysis with Imbalanced Learning Methods"/>
    <s v="Samuel Ndichu; Tao Ban; Takeshi Takahashi; Daisuke Inoue"/>
    <n v="2023"/>
    <x v="7"/>
    <x v="1"/>
    <s v="systems/empirical"/>
    <s v="19.0"/>
    <s v="10.3390/app13031977"/>
    <s v="W4319080536"/>
    <n v="0"/>
    <n v="0"/>
    <s v="openalex"/>
  </r>
  <r>
    <s v="Breaking Alert Fatigue: AI-Assisted SIEM Framework for Effective Incident Response"/>
    <s v="Tao Ban; Takeshi Takahashi; Samuel Ndichu; Daisuke Inoue"/>
    <n v="2023"/>
    <x v="7"/>
    <x v="1"/>
    <s v="systems/empirical"/>
    <s v="52.0"/>
    <s v="10.3390/app13116610"/>
    <s v="W4381569470"/>
    <n v="0"/>
    <n v="0"/>
    <s v="openalex"/>
  </r>
  <r>
    <s v="That Escalated Quickly: An ML Framework for Alert Prioritization"/>
    <s v="Ben Gelman; Salma Taoufiq; Tamás Vörös; Konstantin Berlin"/>
    <n v="2023"/>
    <x v="0"/>
    <x v="1"/>
    <s v="unscreened(rule-classified)"/>
    <m/>
    <m/>
    <s v="2302.06648"/>
    <n v="0"/>
    <n v="0"/>
    <s v="arxiv"/>
  </r>
  <r>
    <s v="Twin Graph-based Anomaly Detection via Attentive Multi-Modal Learning for Microservice System"/>
    <s v="Jun Huang; Yang Yang; Hang Yu; Jianguo Li; Xiao Zheng"/>
    <n v="2023"/>
    <x v="0"/>
    <x v="1"/>
    <s v="unscreened(rule-classified)"/>
    <m/>
    <m/>
    <s v="2310.04701"/>
    <n v="0"/>
    <n v="0"/>
    <s v="arxiv"/>
  </r>
  <r>
    <s v="Wind Turbine Fault Detection Using Highly Imbalanced Real SCADA Data"/>
    <s v="Cristian Velandia; Yolanda Vidal; Francesc Pozo"/>
    <n v="2021"/>
    <x v="8"/>
    <x v="1"/>
    <s v="unscreened(rule-classified)"/>
    <s v="53.0"/>
    <s v="10.3390/en14061728"/>
    <s v="W3137151386"/>
    <n v="0"/>
    <n v="0"/>
    <s v="openalex"/>
  </r>
  <r>
    <s v="Zero-shot learning approach to adaptive Cybersecurity using Explainable AI"/>
    <s v="Dattaraj Rao; Shraddha Mane"/>
    <n v="2021"/>
    <x v="0"/>
    <x v="1"/>
    <s v="unscreened(rule-classified)"/>
    <m/>
    <m/>
    <s v="2106.14647"/>
    <n v="0"/>
    <n v="0"/>
    <s v="arxiv"/>
  </r>
  <r>
    <s v="A Snooze-less User-Aware Notification System for Proactive Conversational Agents"/>
    <s v="Yara Rizk; Vatche Isahagian; Merve Unuvar; Yasaman Khazaeni"/>
    <n v="2020"/>
    <x v="0"/>
    <x v="1"/>
    <s v="systems/empirical"/>
    <m/>
    <m/>
    <s v="2003.02097"/>
    <n v="0"/>
    <n v="0"/>
    <s v="arxiv"/>
  </r>
  <r>
    <s v="The Energy Blind Spot: NVIDIA's Flagship Edge AI Hardware Cannot Support Process-Level Energy Attribution"/>
    <s v="Deepak Panigrahy; Aakash Tyagi"/>
    <n v="2026"/>
    <x v="0"/>
    <x v="2"/>
    <s v="unscreened(rule-classified)"/>
    <m/>
    <m/>
    <s v="2605.27599"/>
    <n v="0"/>
    <n v="0"/>
    <s v="arxiv"/>
  </r>
  <r>
    <s v="Towards Resiliency in Large Language Model Serving with KevlarFlow"/>
    <s v="Shangshu Qian; Kipling Liu; P. C. Sruthi; Lin Tan; Yongle Zhang"/>
    <n v="2026"/>
    <x v="0"/>
    <x v="2"/>
    <s v="unscreened(rule-classified)"/>
    <m/>
    <m/>
    <s v="2601.22438"/>
    <n v="0"/>
    <n v="0"/>
    <s v="arxiv"/>
  </r>
  <r>
    <s v="When AI Fails, What Works? A Data-Driven Taxonomy of Real-World AI Risk Mitigation Strategies"/>
    <s v="Evgenija Popchanovska; Ana Gjorgjevikj; Maryan Rizinski; Lubomir Chitkushev; Irena Vodenska; Dimitar Trajanov"/>
    <n v="2026"/>
    <x v="0"/>
    <x v="2"/>
    <s v="unscreened(rule-classified)"/>
    <m/>
    <m/>
    <s v="2603.04259"/>
    <n v="0"/>
    <n v="0"/>
    <s v="arxiv"/>
  </r>
  <r>
    <s v="A Threshold-Triggered Deep Q-Network-Based Framework for Self-Healing in Autonomic Software-Defined IIoT-Edge Networks"/>
    <s v="Agrippina Mwangi; León Navarro-Hilfiker; Lukasz Brewka; Mikkel Gryning; Elena Fumagalli; Madeleine Gibescu"/>
    <n v="2025"/>
    <x v="0"/>
    <x v="2"/>
    <s v="systems/empirical"/>
    <m/>
    <s v="10.1109/tnsm.2025.3647853"/>
    <s v="2512.14297"/>
    <n v="0"/>
    <n v="0"/>
    <s v="arxiv"/>
  </r>
  <r>
    <s v="Thermographic and cognitive assessment of fatigue in vessel traffic service operators: a socio-technical approach"/>
    <s v="Fernando Crestelo Moreno; John González; Juan Suardíaz Muro; R. López-Alonso"/>
    <n v="2025"/>
    <x v="9"/>
    <x v="2"/>
    <s v="unscreened(rule-classified)"/>
    <s v="6.0"/>
    <s v="10.1007/s10111-025-00804-x"/>
    <s v="W4411424618"/>
    <n v="0"/>
    <n v="0"/>
    <s v="openalex"/>
  </r>
  <r>
    <s v="Toward Robust Security Orchestration and Automated Response in Security Operations Centers with a Hyper-Automation Approach Using Agentic Artificial Intelligence"/>
    <s v="Ismail Ismail; Rahmat Kurnia; Zilmas Arjuna Brata; Ghitha Afina Nelistiani; Shinwook Heo; Hyeongon Kim; Hyeongon Kim; Howon Kim; Howon Kim"/>
    <n v="2025"/>
    <x v="10"/>
    <x v="2"/>
    <s v="unscreened(rule-classified)"/>
    <s v="31.0"/>
    <s v="10.3390/info16050365"/>
    <s v="W4409965657"/>
    <n v="0"/>
    <n v="0"/>
    <s v="openalex"/>
  </r>
  <r>
    <s v="Understanding Practitioners Perspectives on Monitoring Machine Learning Systems"/>
    <s v="Hira Naveed; John Grundy; Chetan Arora; Hourieh Khalajzadeh; Omar Haggag"/>
    <n v="2025"/>
    <x v="0"/>
    <x v="2"/>
    <s v="unscreened(rule-classified)"/>
    <m/>
    <m/>
    <s v="2509.25195"/>
    <n v="0"/>
    <n v="0"/>
    <s v="arxiv"/>
  </r>
  <r>
    <s v="When, Where, and What? A Novel Benchmark for Accident Anticipation and Localization with Large Language Models"/>
    <s v="Haicheng Liao; Yongkang Li; Chengyue Wang; Yanchen Guan; KaHou Tam; Chunlin Tian; Li Li; Chengzhong Xu"/>
    <n v="2024"/>
    <x v="0"/>
    <x v="2"/>
    <s v="unscreened(rule-classified)"/>
    <m/>
    <m/>
    <s v="2407.16277"/>
    <n v="0"/>
    <n v="0"/>
    <s v="arxiv"/>
  </r>
  <r>
    <s v="Transparent Automated Advice to Mitigate the Impact of Variation in Automation Reliability"/>
    <s v="Isabella Gegoff; Monica Tatasciore; Vanessa K. Bowden; Jason S. McCarley; Shayne Loft"/>
    <n v="2023"/>
    <x v="11"/>
    <x v="2"/>
    <s v="unscreened(rule-classified)"/>
    <s v="24.0"/>
    <s v="10.1177/00187208231196738"/>
    <s v="W4386209057"/>
    <n v="0"/>
    <n v="0"/>
    <s v="openalex"/>
  </r>
  <r>
    <s v="Unicron: Economizing Self-Healing LLM Training at Scale"/>
    <s v="Tao He; Xue Li; Zhibin Wang; Kun Qian; Jing-Bo Xu; Wenyuan Yu; Jingren Zhou"/>
    <n v="2023"/>
    <x v="12"/>
    <x v="2"/>
    <s v="unscreened(rule-classified)"/>
    <s v="5.0"/>
    <s v="10.48550/arxiv.2401.00134"/>
    <s v="W4390529129"/>
    <n v="0"/>
    <n v="0"/>
    <s v="openalex"/>
  </r>
  <r>
    <s v="Towards Self-Adaptive Peer-to-Peer Monitoring for Fog Environments"/>
    <s v="Vera Colombo; Alessandro Tundo; Michele Ciavotta; Leonardo Mariani"/>
    <n v="2022"/>
    <x v="0"/>
    <x v="2"/>
    <s v="unscreened(rule-classified)"/>
    <m/>
    <s v="10.1145/3524844.3528055"/>
    <s v="2205.04142"/>
    <n v="0"/>
    <n v="0"/>
    <s v="arxiv"/>
  </r>
  <r>
    <s v="Using fNIRS to Verify Trust in Highly Automated Driving"/>
    <s v="Jaume Perelló-March; Christopher Burns; Roger Woodman; Mark T. Elliott; Stewart Birrell"/>
    <n v="2022"/>
    <x v="13"/>
    <x v="2"/>
    <s v="unscreened(rule-classified)"/>
    <s v="33.0"/>
    <s v="10.1109/tits.2022.3211089"/>
    <s v="W4312966716"/>
    <n v="0"/>
    <n v="0"/>
    <s v="openalex"/>
  </r>
  <r>
    <s v="Zero Day Threat Detection Using Graph and Flow Based Security Telemetry"/>
    <s v="Christopher Redino; Dhruv Nandakumar; Robert Schiller; Kevin Choi; Abdul Rahman; Edward Bowen; Matthew Weeks; Aaron Shaha"/>
    <n v="2022"/>
    <x v="0"/>
    <x v="2"/>
    <s v="unscreened(rule-classified)"/>
    <m/>
    <m/>
    <s v="2205.02298"/>
    <n v="0"/>
    <n v="0"/>
    <s v="arxiv"/>
  </r>
  <r>
    <s v="TELESTO: A Graph Neural Network Model for Anomaly Classification in Cloud Services"/>
    <s v="Dominik Scheinert; Alexander Acker"/>
    <n v="2021"/>
    <x v="14"/>
    <x v="2"/>
    <s v="unscreened(rule-classified)"/>
    <m/>
    <s v="10.1007/978-3-030-76352-7_23"/>
    <s v="2102.12877"/>
    <n v="0"/>
    <n v="0"/>
    <s v="arxiv"/>
  </r>
  <r>
    <s v="A Decentralised Self-Healing Approach for Network Topology Maintenance"/>
    <s v="Arles Rodríguez; Jonatan Gómez; Ada Diaconescu"/>
    <n v="2020"/>
    <x v="15"/>
    <x v="2"/>
    <s v="systems/empirical"/>
    <m/>
    <s v="10.1007/s10458-020-09486-3"/>
    <s v="2010.11146"/>
    <n v="0"/>
    <n v="0"/>
    <s v="arxiv"/>
  </r>
  <r>
    <s v="The Challenges of Leveraging Threat Intelligence to Stop Data Breaches"/>
    <s v="Amani S. Ibrahim; Dhananjay Thiruvady; Jean-Guy Schneider; Mohamed Abdelrazek"/>
    <n v="2020"/>
    <x v="16"/>
    <x v="2"/>
    <s v="unscreened(rule-classified)"/>
    <s v="62.0"/>
    <s v="10.3389/fcomp.2020.00036"/>
    <s v="W3081936891"/>
    <n v="0"/>
    <n v="0"/>
    <s v="openalex"/>
  </r>
  <r>
    <s v="Variational LSTM Enhanced Anomaly Detection for Industrial Big Data"/>
    <s v="Xiaokang Zhou; Yiyong Hu; Wei Liang; Jianhua Ma; Qun Jin"/>
    <n v="2020"/>
    <x v="17"/>
    <x v="2"/>
    <s v="unscreened(rule-classified)"/>
    <s v="401.0"/>
    <s v="10.1109/tii.2020.3022432"/>
    <s v="W3086419524"/>
    <n v="0"/>
    <n v="0"/>
    <s v="openalex"/>
  </r>
  <r>
    <s v="The Dynamics of Software Composition Analysis"/>
    <s v="Darius Foo; Jason Yeo; Hao Xiao; Asankhaya Sharma"/>
    <n v="2019"/>
    <x v="0"/>
    <x v="2"/>
    <s v="unscreened(rule-classified)"/>
    <m/>
    <m/>
    <s v="1909.00973"/>
    <n v="0"/>
    <n v="0"/>
    <s v="arxiv"/>
  </r>
  <r>
    <s v="Deepchecks: Evaluating Retrieval-Augmented Generation (RAG)"/>
    <s v="Assaf Gerner; Netta Madvil; Nadav Barak; Alex Zaikman; Jonatan Liberman; Liron Hamra; Rotem Brazilay; Shay Tsadok"/>
    <n v="2026"/>
    <x v="0"/>
    <x v="3"/>
    <s v="systems/empirical"/>
    <m/>
    <m/>
    <s v="2605.14488"/>
    <n v="0"/>
    <n v="0"/>
    <s v="arxiv"/>
  </r>
  <r>
    <s v="TelcoAgent-Bench: A Multilingual Benchmark for Telecom AI Agents"/>
    <s v="Lina Bariah; Brahim Mefgouda; Farbod Tavakkoli; Enrique Molero; Louis Powell; Merouane Debbah"/>
    <n v="2026"/>
    <x v="0"/>
    <x v="3"/>
    <s v="unscreened(rule-classified)"/>
    <m/>
    <m/>
    <s v="2604.06209"/>
    <n v="0"/>
    <n v="0"/>
    <s v="arxiv"/>
  </r>
  <r>
    <s v="Towards Near-Real-Time Telemetry-Aware Routing with Neural Routing Algorithms"/>
    <s v="Andreas Boltres; Niklas Freymuth; Benjamin Schichtholz; Michael König; Gerhard Neumann"/>
    <n v="2026"/>
    <x v="0"/>
    <x v="3"/>
    <s v="unscreened(rule-classified)"/>
    <m/>
    <m/>
    <s v="2604.02927"/>
    <n v="0"/>
    <n v="0"/>
    <s v="arxiv"/>
  </r>
  <r>
    <s v="Verified Tool Calls Improve LLM Agent Reliability Under Non-Atomic Failures"/>
    <s v="Isham Kalappurackal Mansoor; Abhishek Phadke; Pratip Rana"/>
    <n v="2026"/>
    <x v="0"/>
    <x v="3"/>
    <s v="unscreened(rule-classified)"/>
    <m/>
    <m/>
    <s v="2608.02645"/>
    <n v="0"/>
    <n v="0"/>
    <s v="arxiv"/>
  </r>
  <r>
    <s v="When Retrieval Fails Before It Begins: Structurally Indirect Prerequisite Eviction as a Retention Failure in Agentic Memory"/>
    <s v="Minkyu Song"/>
    <n v="2026"/>
    <x v="0"/>
    <x v="3"/>
    <s v="unscreened(rule-classified)"/>
    <m/>
    <m/>
    <s v="2608.20400"/>
    <n v="0"/>
    <n v="0"/>
    <s v="arxiv"/>
  </r>
  <r>
    <s v="WirelessOpsAgent: A Benchmark and Agent Design for Action Assurance in Wireless Networks"/>
    <s v="Zijian Lu; Yiping Zuo; Hao Xu; Weicong Chen; Xin He; Jiajia Guo; Shi Jin"/>
    <n v="2026"/>
    <x v="0"/>
    <x v="3"/>
    <s v="unscreened(rule-classified)"/>
    <m/>
    <m/>
    <s v="2608.08277"/>
    <n v="0"/>
    <n v="0"/>
    <s v="arxiv"/>
  </r>
  <r>
    <s v="AIOpsLab: A Holistic Framework to Evaluate AI Agents for Enabling Autonomous Clouds"/>
    <s v="Yinfang Chen; Manish Shetty; Gagan Somashekar; Minghua Ma; Yogesh Simmhan; Jonathan Mace; Chetan Bansal; Rujia Wang"/>
    <n v="2025"/>
    <x v="0"/>
    <x v="3"/>
    <s v="systems/empirical"/>
    <m/>
    <m/>
    <s v="2501.06706"/>
    <n v="0"/>
    <n v="1"/>
    <s v="arxiv"/>
  </r>
  <r>
    <s v="A Network Arena for Benchmarking AI Agents on Network Troubleshooting"/>
    <s v="Zhihao Wang; Alessandro Cornacchia; Alessio Sacco; Franco Galante; Marco Canini; Dingde Jiang"/>
    <n v="2025"/>
    <x v="0"/>
    <x v="3"/>
    <s v="systems/empirical"/>
    <m/>
    <m/>
    <s v="2512.16381"/>
    <n v="0"/>
    <n v="1"/>
    <s v="arxiv"/>
  </r>
  <r>
    <s v="DFIR-Metric: A Benchmark Dataset for Evaluating Large Language Models in Digital Forensics and Incident Response"/>
    <s v="Bilel Cherif; Tamas Bisztray; Richard A. Dubniczky; Aaesha Aldahmani; Saeed Alshehhi; Norbert Tihanyi"/>
    <n v="2025"/>
    <x v="0"/>
    <x v="3"/>
    <s v="systems/empirical"/>
    <m/>
    <m/>
    <s v="2505.19973"/>
    <n v="0"/>
    <n v="0"/>
    <s v="arxiv"/>
  </r>
  <r>
    <s v="VAGEN: Reinforcing World Model Reasoning for Multi-Turn VLM Agents"/>
    <s v="Kangrui Wang; Pingyue Zhang; Zihan Wang; Yaning Gao; Linjie Li; Qineng Wang; Hanyang Chen; Chi Wan"/>
    <n v="2025"/>
    <x v="0"/>
    <x v="3"/>
    <s v="unscreened(rule-classified)"/>
    <m/>
    <m/>
    <s v="2510.16907"/>
    <n v="0"/>
    <n v="0"/>
    <s v="arxiv"/>
  </r>
  <r>
    <s v="Multi-Agent Coordination Strategies vs. Retrieval-Augmented Generation in LLMs: A Comparative Evaluation"/>
    <s v="Irina Radeva; Иван Попчев; Lyubka Doukovska; Miroslava Dimitrova"/>
    <n v="2025"/>
    <x v="18"/>
    <x v="3"/>
    <s v="unscreened(rule-classified)"/>
    <s v="0.0"/>
    <s v="10.3390/electronics14244883"/>
    <s v="W4417244517"/>
    <n v="1"/>
    <n v="0"/>
    <s v="openalex"/>
  </r>
  <r>
    <s v="Retail Resilience Engine: An Agentic AI Framework for Building Reliable Retail Systems With Test-Driven Development Approach"/>
    <s v="Lalit Narayan Mishra; Biswaranjan Senapati"/>
    <n v="2025"/>
    <x v="1"/>
    <x v="3"/>
    <s v="unscreened(rule-classified)"/>
    <s v="34.0"/>
    <s v="10.1109/ACCESS.2025.3552592"/>
    <s v="W4408564575"/>
    <n v="1"/>
    <n v="0"/>
    <s v="openalex"/>
  </r>
  <r>
    <s v="RCAEval: A Benchmark for Root Cause Analysis of Microservice Systems with Telemetry Data"/>
    <s v="Luan Pham; Hongyu Zhang; Huong Ha; Flora D. Salim"/>
    <n v="2025"/>
    <x v="5"/>
    <x v="3"/>
    <s v="systems/empirical"/>
    <s v="20.0"/>
    <s v="10.1145/3701716.3715290"/>
    <m/>
    <n v="0"/>
    <n v="1"/>
    <s v="landmark"/>
  </r>
  <r>
    <s v="OpsEval: A Comprehensive Benchmark Suite for Evaluating Large Language Models’ Capability in IT Operations Domain"/>
    <s v="Yuhe Liu; Changhua Pei; Longlong Xu; Bohan Chen"/>
    <n v="2025"/>
    <x v="5"/>
    <x v="3"/>
    <s v="systems/empirical"/>
    <s v="5.0"/>
    <s v="10.1145/3696630.3728572"/>
    <m/>
    <n v="0"/>
    <n v="1"/>
    <s v="landmark"/>
  </r>
  <r>
    <s v="ITBench: Evaluating AI Agents across Diverse Real-World IT Automation Tasks"/>
    <s v="Saurabh Jha; Rohan Arora; Yuji Watanabe; Takumi Yanagawa"/>
    <n v="2025"/>
    <x v="0"/>
    <x v="3"/>
    <s v="systems/empirical"/>
    <m/>
    <m/>
    <s v="2502.05352"/>
    <n v="0"/>
    <n v="1"/>
    <s v="landmark"/>
  </r>
  <r>
    <s v="TinyAgent: Function Calling at the Edge"/>
    <s v="Lutfi Eren Erdogan; Nicholas Lee; Siddharth Jha; Sehoon Kim; Ryan Tabrizi; Suhong Moon; Coleman Hooper; Gopala Anumanchipalli"/>
    <n v="2024"/>
    <x v="0"/>
    <x v="3"/>
    <s v="unscreened(rule-classified)"/>
    <m/>
    <m/>
    <s v="2409.00608"/>
    <n v="0"/>
    <n v="0"/>
    <s v="arxiv"/>
  </r>
  <r>
    <s v="Towards Automation of Human Stage of Decay Identification: An Artificial Intelligence Approach"/>
    <s v="Anna-Maria Nau; Phillip Ditto; Dawnie Wolfe Steadman; Audris Mockus"/>
    <n v="2024"/>
    <x v="0"/>
    <x v="3"/>
    <s v="unscreened(rule-classified)"/>
    <m/>
    <m/>
    <s v="2408.10414"/>
    <n v="0"/>
    <n v="0"/>
    <s v="arxiv"/>
  </r>
  <r>
    <s v="Availability analysis of redundant and replicated cloud services with Bayesian networks"/>
    <s v="Otto Bibartiu; Frank Dürr; Kurt Rothermel; Beate Ottenwälder; Andreas Grau"/>
    <n v="2023"/>
    <x v="19"/>
    <x v="3"/>
    <s v="systems/empirical"/>
    <s v="7.0"/>
    <s v="10.1002/qre.3414"/>
    <s v="W4385241681"/>
    <n v="0"/>
    <n v="0"/>
    <s v="openalex"/>
  </r>
  <r>
    <s v="The Chatbot Usability Scale: the Design and Pilot of a Usability Scale for Interaction with AI-Based Conversational Agents"/>
    <s v="Simone Borsci; Alessio Malizia; Martin Schmettow; Frank van der Velde; Gunay Tariverdiyeva; Divyaa Balaji; Alan Chamberlain"/>
    <n v="2021"/>
    <x v="20"/>
    <x v="3"/>
    <s v="unscreened(rule-classified)"/>
    <s v="233.0"/>
    <s v="10.1007/s00779-021-01582-9"/>
    <s v="W3187911027"/>
    <n v="0"/>
    <n v="0"/>
    <s v="openalex"/>
  </r>
  <r>
    <s v="The Impact of Explanations on Layperson Trust in Artificial Intelligence–Driven Symptom Checker Apps: Experimental Study"/>
    <s v="Claire Woodcock; Brent Mittelstadt; Dan Busbridge; Grant Blank"/>
    <n v="2021"/>
    <x v="21"/>
    <x v="3"/>
    <s v="unscreened(rule-classified)"/>
    <s v="50.0"/>
    <s v="10.2196/29386"/>
    <s v="W3210874941"/>
    <n v="0"/>
    <n v="0"/>
    <s v="openalex"/>
  </r>
  <r>
    <s v="Towards intelligent incident management: why we need it and how we make it"/>
    <s v="Zhuangbin Chen; Yu Kang; Liqun Li; Xu Zhang"/>
    <n v="2020"/>
    <x v="5"/>
    <x v="3"/>
    <s v="systems/empirical"/>
    <s v="91.0"/>
    <s v="10.1145/3368089.3417055"/>
    <m/>
    <n v="0"/>
    <n v="1"/>
    <s v="landmark"/>
  </r>
  <r>
    <s v="Tools and Benchmarks for Automated Log Parsing"/>
    <s v="Jieming Zhu; Shilin He; Jinyang Liu; Pinjia He; Qi Xie; Zibin Zheng; Michael R. Lyu"/>
    <n v="2019"/>
    <x v="22"/>
    <x v="3"/>
    <s v="unscreened(rule-classified)"/>
    <s v="538.0"/>
    <s v="10.1109/icse-seip.2019.00021"/>
    <s v="W2963999143"/>
    <n v="0"/>
    <n v="0"/>
    <s v="openalex"/>
  </r>
  <r>
    <s v="CCL-D: A High-Precision Diagnostic System for Slow and Hang Anomalies in Large-Scale Model Training"/>
    <s v="Yida Gu; Fakang Wang; Jianhao Fu; Zhenhang Sun; Qianyu Zhang; Hairui Zhao; Xingchen Liu; Yang Tian"/>
    <n v="2026"/>
    <x v="0"/>
    <x v="4"/>
    <s v="systems/empirical"/>
    <m/>
    <s v="10.1145/3774934.3786429"/>
    <s v="2605.04478"/>
    <n v="0"/>
    <n v="0"/>
    <s v="arxiv"/>
  </r>
  <r>
    <s v="CLAD: Efficient Log Anomaly Detection Directly on Compressed Representations"/>
    <s v="Benzhao Tang; Shiyu Yang"/>
    <n v="2026"/>
    <x v="0"/>
    <x v="4"/>
    <s v="systems/empirical"/>
    <m/>
    <m/>
    <s v="2604.13024"/>
    <n v="0"/>
    <n v="0"/>
    <s v="arxiv"/>
  </r>
  <r>
    <s v="ContraLog: Log File Anomaly Detection with Contrastive Learning and Masked Language Modeling"/>
    <s v="Simon Dietz; Kai Klede; An Nguyen; Bjoern M Eskofier"/>
    <n v="2026"/>
    <x v="0"/>
    <x v="4"/>
    <s v="systems/empirical"/>
    <m/>
    <m/>
    <s v="2602.03678"/>
    <n v="0"/>
    <n v="0"/>
    <s v="arxiv"/>
  </r>
  <r>
    <s v="Using AI to Monitor AI: Automated Operations Through Log-Driven Intelligence"/>
    <s v="Chen Qi; Xiaoying Qiao"/>
    <n v="2026"/>
    <x v="22"/>
    <x v="4"/>
    <s v="unscreened(rule-classified)"/>
    <s v="0.0"/>
    <s v="10.1109/icbase70763.2026.11619459"/>
    <s v="W7171729227"/>
    <n v="0"/>
    <n v="0"/>
    <s v="openalex"/>
  </r>
  <r>
    <s v="When GPUs Fail Quietly: Observability-Aware Early Warning Beyond Numeric Telemetry"/>
    <s v="Michael Bidollahkhani; Freja Nordsiek; Julian M. Kunkel"/>
    <n v="2026"/>
    <x v="0"/>
    <x v="4"/>
    <s v="unscreened(rule-classified)"/>
    <m/>
    <m/>
    <s v="2603.28781"/>
    <n v="0"/>
    <n v="0"/>
    <s v="arxiv"/>
  </r>
  <r>
    <s v="A layered architecture for log analysis in complex IT systems"/>
    <s v="Thorsten Wittkopp"/>
    <n v="2025"/>
    <x v="0"/>
    <x v="4"/>
    <s v="systems/empirical"/>
    <m/>
    <s v="10.14279/depositonce-22012"/>
    <s v="2509.08698"/>
    <n v="0"/>
    <n v="0"/>
    <s v="arxiv"/>
  </r>
  <r>
    <s v="A unified framework for detecting point and collective anomalies in operating system logs via collaborative transformers"/>
    <s v="Mohammad Nasirzadeh; Jafar Tahmoresnezhad; Parviz Rashidi-Khazaee"/>
    <n v="2025"/>
    <x v="23"/>
    <x v="4"/>
    <s v="systems/empirical"/>
    <m/>
    <s v="10.1038/s41598-025-27693-4"/>
    <s v="2512.23380"/>
    <n v="0"/>
    <n v="0"/>
    <s v="arxiv"/>
  </r>
  <r>
    <s v="DBLoss: Decomposition-based Loss Function for Time Series Forecasting"/>
    <s v="Xiangfei Qiu; Xingjian Wu; Hanyin Cheng; Xvyuan Liu; Chenjuan Guo; Jilin Hu; Bin Yang"/>
    <n v="2025"/>
    <x v="0"/>
    <x v="4"/>
    <s v="systems/empirical"/>
    <m/>
    <m/>
    <s v="2510.23672"/>
    <n v="0"/>
    <n v="0"/>
    <s v="arxiv"/>
  </r>
  <r>
    <s v="Graph Neural AI with Temporal Dynamics for Comprehensive Anomaly Detection in Microservices"/>
    <s v="Qingyuan Zhang; Ning Lyu; Le Liu; Yuxi Wang; Ziyu Cheng; Cancan Hua"/>
    <n v="2025"/>
    <x v="0"/>
    <x v="4"/>
    <s v="systems/empirical"/>
    <m/>
    <m/>
    <s v="2511.03285"/>
    <n v="0"/>
    <n v="0"/>
    <s v="arxiv"/>
  </r>
  <r>
    <s v="The Agentic Regulator: Risks for AI in Finance and a Proposed Agent-based Framework for Governance"/>
    <s v="Eren Kurshan; Tucker Balch; David Byrd"/>
    <n v="2025"/>
    <x v="0"/>
    <x v="4"/>
    <s v="unscreened(rule-classified)"/>
    <m/>
    <m/>
    <s v="2512.11933"/>
    <n v="0"/>
    <n v="0"/>
    <s v="arxiv"/>
  </r>
  <r>
    <s v="Unsupervised Anomaly Detection in Multivariate Time Series across Heterogeneous Domains"/>
    <s v="Vincent Jacob; Yanlei Diao"/>
    <n v="2025"/>
    <x v="0"/>
    <x v="4"/>
    <s v="unscreened(rule-classified)"/>
    <m/>
    <m/>
    <s v="2503.23060"/>
    <n v="0"/>
    <n v="0"/>
    <s v="arxiv"/>
  </r>
  <r>
    <s v="Artificial Intelligence for Predictive Maintenance Applications: Key Components, Trustworthiness, and Future Trends"/>
    <s v="Ayşegül Uçar; Mehmet Karaköse; Necim Kırımça"/>
    <n v="2024"/>
    <x v="7"/>
    <x v="4"/>
    <s v="survey/position"/>
    <s v="396.0"/>
    <s v="10.3390/app14020898"/>
    <s v="W4391098453"/>
    <n v="0"/>
    <n v="0"/>
    <s v="openalex"/>
  </r>
  <r>
    <s v="Cloud Network Anomaly Detection Using Machine and Deep Learning Techniques— Recent Research Advancements"/>
    <s v="Amira Mahamat Abdallah; Aysha Saif Rashed Obaid Alkaabi; Ghaya Bark Nasser Douman Alameri; Saida Hafsa Rafique; Nura Shifa Musa; M. Thangavel"/>
    <n v="2024"/>
    <x v="1"/>
    <x v="4"/>
    <s v="survey/position"/>
    <s v="78.0"/>
    <s v="10.1109/access.2024.3390844"/>
    <s v="W4394939094"/>
    <n v="0"/>
    <n v="0"/>
    <s v="openalex"/>
  </r>
  <r>
    <s v="Cross-System Categorization of Abnormal Traces in Microservice-Based Systems via Meta-Learning"/>
    <s v="Yuqing Wang; Mika V. Mäntylä; Serge Demeyer; Mutlu Beyazit; Joanna Kisaakye; Jesse Nyyssölä"/>
    <n v="2024"/>
    <x v="0"/>
    <x v="4"/>
    <s v="systems/empirical"/>
    <m/>
    <s v="10.1145/3715742"/>
    <s v="2403.18998"/>
    <n v="0"/>
    <n v="0"/>
    <s v="arxiv"/>
  </r>
  <r>
    <s v="Cross-System Software Log-based Anomaly Detection Using Meta-Learning"/>
    <s v="Yuqing Wang; Mika V. Mäntylä; Jesse Nyyssölä; Ke Ping; Liqiang Wang"/>
    <n v="2024"/>
    <x v="0"/>
    <x v="4"/>
    <s v="systems/empirical"/>
    <m/>
    <m/>
    <s v="2412.15445"/>
    <n v="0"/>
    <n v="0"/>
    <s v="arxiv"/>
  </r>
  <r>
    <s v="Deep Industrial Image Anomaly Detection: A Survey"/>
    <s v="Jiaqi Liu; Guoyang Xie; Jinbao Wang; Shangnian Li; Chengjie Wang; Feng Zheng; Yaochu Jin"/>
    <n v="2024"/>
    <x v="24"/>
    <x v="4"/>
    <s v="survey/position"/>
    <s v="389.0"/>
    <s v="10.1007/s11633-023-1459-z"/>
    <s v="W4390875033"/>
    <n v="0"/>
    <n v="0"/>
    <s v="openalex"/>
  </r>
  <r>
    <s v="Deep Learning for Time Series Anomaly Detection: A Survey"/>
    <s v="Zahra Zamanzadeh Darban; Geoffrey I. Webb; Shirui Pan; Charų C. Aggarwal; Mahsa Salehi"/>
    <n v="2024"/>
    <x v="25"/>
    <x v="4"/>
    <s v="survey/position"/>
    <s v="506.0"/>
    <s v="10.1145/3691338"/>
    <s v="W4402056503"/>
    <n v="0"/>
    <n v="0"/>
    <s v="openalex"/>
  </r>
  <r>
    <s v="Deep Learning or Classical Machine Learning? An Empirical Study on Log-Based Anomaly Detection"/>
    <s v="Boxi Yu; Jiayi Yao; Qiuai Fu; Zhiqing Zhong; Haotian Xie; Y.C. Wu; Yuchi Ma; Pinjia He"/>
    <n v="2024"/>
    <x v="22"/>
    <x v="4"/>
    <s v="systems/empirical"/>
    <s v="57.0"/>
    <s v="10.1145/3597503.3623308"/>
    <s v="W4391558391"/>
    <n v="0"/>
    <n v="0"/>
    <s v="openalex"/>
  </r>
  <r>
    <s v="GraphSubDetector: Time Series Subsequence Anomaly Detection via Density-Aware Adaptive Graph Neural Network"/>
    <s v="Weiqi Chen; Zhiqiang Zhou; Qingsong Wen; Liang Sun"/>
    <n v="2024"/>
    <x v="0"/>
    <x v="4"/>
    <s v="systems/empirical"/>
    <m/>
    <m/>
    <s v="2411.17218"/>
    <n v="0"/>
    <n v="0"/>
    <s v="arxiv"/>
  </r>
  <r>
    <s v="Time to Retrain? Detecting Concept Drifts in Machine Learning Systems"/>
    <s v="Tri Minh Triet Pham; Karthikeyan Premkumar; Mohamed Naili; Jinqiu Yang"/>
    <n v="2024"/>
    <x v="0"/>
    <x v="4"/>
    <s v="unscreened(rule-classified)"/>
    <m/>
    <m/>
    <s v="2410.09190"/>
    <n v="0"/>
    <n v="0"/>
    <s v="arxiv"/>
  </r>
  <r>
    <s v="WaitGPT: Monitoring and Steering Conversational LLM Agent in Data Analysis with On-the-Fly Code Visualization"/>
    <s v="Liwenhan Xie; Chengbo Zheng; Haijun Xia; Huamin Qu; Zhutian Chen"/>
    <n v="2024"/>
    <x v="22"/>
    <x v="4"/>
    <s v="unscreened(rule-classified)"/>
    <s v="45.0"/>
    <s v="10.1145/3654777.3676374"/>
    <s v="W4403334501"/>
    <n v="0"/>
    <n v="0"/>
    <s v="openalex"/>
  </r>
  <r>
    <s v="Data Drift Monitoring for Log Anomaly Detection Pipelines"/>
    <s v="Dipak Wani; Samuel Ackerman; Eitan Farchi; Xiaotong Liu; Hau-wen Chang; Sarasi Lalithsena"/>
    <n v="2023"/>
    <x v="0"/>
    <x v="4"/>
    <s v="systems/empirical"/>
    <m/>
    <m/>
    <s v="2310.14893"/>
    <n v="0"/>
    <n v="0"/>
    <s v="arxiv"/>
  </r>
  <r>
    <s v="Deep learning for anomaly detection in log data: A survey"/>
    <s v="Max Landauer; Sebastian Onder; Florian Skopik; Markus Wurzenberger"/>
    <n v="2023"/>
    <x v="26"/>
    <x v="4"/>
    <s v="survey/position"/>
    <s v="194.0"/>
    <s v="10.1016/j.mlwa.2023.100470"/>
    <s v="W4376288669"/>
    <n v="0"/>
    <n v="0"/>
    <s v="openalex"/>
  </r>
  <r>
    <s v="Distributed system anomaly detection using deep learning‐based log analysis"/>
    <s v="Pengfei Han; Huakang Li; Gang Xue; Chao Zhang"/>
    <n v="2023"/>
    <x v="27"/>
    <x v="4"/>
    <s v="systems/empirical"/>
    <s v="12.0"/>
    <s v="10.1111/coin.12573"/>
    <s v="W4366768971"/>
    <n v="0"/>
    <n v="0"/>
    <s v="openalex"/>
  </r>
  <r>
    <s v="From Corrective to Predictive Maintenance—A Review of Maintenance Approaches for the Power Industry"/>
    <s v="Marek Molęda; Bożena Małysiak-Mrozek; Weiping Ding; Vaidy Sunderam; Dariusz Mrozek"/>
    <n v="2023"/>
    <x v="28"/>
    <x v="4"/>
    <s v="survey/position"/>
    <s v="264.0"/>
    <s v="10.3390/s23135970"/>
    <s v="W4382402849"/>
    <n v="0"/>
    <n v="0"/>
    <s v="openalex"/>
  </r>
  <r>
    <s v="GLAD: Content-aware Dynamic Graphs For Log Anomaly Detection"/>
    <s v="Yufei Li; Yanchi Liu; Haoyu Wang; Zhengzhang Chen; Wei Cheng; Yuncong Chen; Wenchao Yu; Haifeng Chen"/>
    <n v="2023"/>
    <x v="0"/>
    <x v="4"/>
    <s v="systems/empirical"/>
    <m/>
    <m/>
    <s v="2309.05953"/>
    <n v="0"/>
    <n v="0"/>
    <s v="arxiv"/>
  </r>
  <r>
    <s v="Graph Neural Networks based Log Anomaly Detection and Explanation"/>
    <s v="Zhong Li; Jiayang Shi; Matthijs van Leeuwen"/>
    <n v="2023"/>
    <x v="0"/>
    <x v="4"/>
    <s v="systems/empirical"/>
    <m/>
    <m/>
    <s v="2307.00527"/>
    <n v="0"/>
    <n v="0"/>
    <s v="arxiv"/>
  </r>
  <r>
    <s v="Triple:The Interpretable Deep Learning Anomaly Detection Framework based on Trace-Metric-Log of Microservice"/>
    <s v="Rui Ren; Yan Wang; Fengrui Liu; Zhenyu Li; Gaogang Xie"/>
    <n v="2023"/>
    <x v="22"/>
    <x v="4"/>
    <s v="unscreened(rule-classified)"/>
    <s v="14.0"/>
    <s v="10.1109/iwqos57198.2023.10188773"/>
    <s v="W4385302163"/>
    <n v="0"/>
    <n v="0"/>
    <s v="openalex"/>
  </r>
  <r>
    <s v="Robust Multimodal Failure Detection for Microservice Systems"/>
    <s v="Chenyu Zhao; Minghua Ma; Zhenyu Zhong; Shenglin Zhang"/>
    <n v="2023"/>
    <x v="5"/>
    <x v="4"/>
    <s v="systems/empirical"/>
    <s v="63.0"/>
    <s v="10.1145/3580305.3599902"/>
    <m/>
    <n v="0"/>
    <n v="1"/>
    <s v="landmark"/>
  </r>
  <r>
    <s v="AIOps Architecture in Data Center Site Infrastructure Monitoring"/>
    <s v="Wei Shan Dong"/>
    <n v="2022"/>
    <x v="29"/>
    <x v="4"/>
    <s v="systems/empirical"/>
    <s v="6.0"/>
    <s v="10.1155/2022/1988990"/>
    <s v="W4286009594"/>
    <n v="0"/>
    <n v="0"/>
    <s v="openalex"/>
  </r>
  <r>
    <s v="A Survey on Observability of Distributed Edge &amp; Container-Based Microservices"/>
    <s v="Muhammad Usman; Simone Ferlin; Anna Brunström; Javid Taheri"/>
    <n v="2022"/>
    <x v="1"/>
    <x v="4"/>
    <s v="survey/position"/>
    <s v="115.0"/>
    <s v="10.1109/access.2022.3193102"/>
    <s v="W4286544722"/>
    <n v="0"/>
    <n v="0"/>
    <s v="openalex"/>
  </r>
  <r>
    <s v="Design and Development of RNN Anomaly Detection Model for IoT Networks"/>
    <s v="Imtiaz Ullah; Qusay H. Mahmoud"/>
    <n v="2022"/>
    <x v="1"/>
    <x v="4"/>
    <s v="systems/empirical"/>
    <s v="263.0"/>
    <s v="10.1109/access.2022.3176317"/>
    <s v="W4285106051"/>
    <n v="0"/>
    <n v="0"/>
    <s v="openalex"/>
  </r>
  <r>
    <s v="EADN: An Efficient Deep Learning Model for Anomaly Detection in Videos"/>
    <s v="Sareer Ul Amin; Mohib Ullah; Muhammad Sajjad; Faouzi Alaya Cheikh; Mohammad Hijji; Abdulrahman Hijji; Khan Muhammad"/>
    <n v="2022"/>
    <x v="30"/>
    <x v="4"/>
    <s v="systems/empirical"/>
    <s v="142.0"/>
    <s v="10.3390/math10091555"/>
    <s v="W4229008034"/>
    <n v="0"/>
    <n v="0"/>
    <s v="openalex"/>
  </r>
  <r>
    <s v="Edge-IIoTset: A New Comprehensive Realistic Cyber Security Dataset of IoT and IIoT Applications for Centralized and Federated Learning"/>
    <s v="Mohamed Amine Ferrag; Othmane Friha; Djallel Hamouda; Λέανδρος Μαγλαράς; Helge Janicke"/>
    <n v="2022"/>
    <x v="1"/>
    <x v="4"/>
    <s v="systems/empirical"/>
    <s v="1060.0"/>
    <s v="10.1109/access.2022.3165809"/>
    <s v="W4226319939"/>
    <n v="0"/>
    <n v="0"/>
    <s v="openalex"/>
  </r>
  <r>
    <s v="From knowledge-based to big data analytic model: a novel IoT and machine learning based decision support system for predictive maintenance in Industry 4.0"/>
    <s v="Riccardo Rosati; Luca Romeo; Gianalberto Cecchini; F. Tonetto; Paolo Viti; Adriano Mancini; Emanuele Frontoni"/>
    <n v="2022"/>
    <x v="31"/>
    <x v="4"/>
    <s v="systems/empirical"/>
    <s v="247.0"/>
    <s v="10.1007/s10845-022-01960-x"/>
    <s v="W4281393809"/>
    <n v="0"/>
    <n v="0"/>
    <s v="openalex"/>
  </r>
  <r>
    <s v="Towards Synoptic Water Monitoring Systems: A Review of AI Methods for Automating Water Body Detection and Water Quality Monitoring Using Remote Sensing"/>
    <s v="Liping Yang; Joshua Driscol; Sarigai Sarigai; Qiusheng Wu; Christopher D. Lippitt; Melinda Morgan"/>
    <n v="2022"/>
    <x v="28"/>
    <x v="4"/>
    <s v="unscreened(rule-classified)"/>
    <s v="124.0"/>
    <s v="10.3390/s22062416"/>
    <s v="W4221087595"/>
    <n v="0"/>
    <n v="0"/>
    <s v="openalex"/>
  </r>
  <r>
    <s v="A Data-Mining Approach for Wind Turbine Fault Detection Based on SCADA Data Analysis Using Artificial Neural Networks"/>
    <s v="Annalisa Santolamazza; Daniele Dadi; Vito Introna"/>
    <n v="2021"/>
    <x v="8"/>
    <x v="4"/>
    <s v="systems/empirical"/>
    <s v="80.0"/>
    <s v="10.3390/en14071845"/>
    <s v="W3146685335"/>
    <n v="0"/>
    <n v="0"/>
    <s v="openalex"/>
  </r>
  <r>
    <s v="A new distributed anomaly detection approach for log IDS management based on deep learning"/>
    <s v="Murat Koca; Muhammed Ali Aydın; Ahmet Sertbaş; Abdül Halim Zaim"/>
    <n v="2021"/>
    <x v="32"/>
    <x v="4"/>
    <s v="systems/empirical"/>
    <s v="17.0"/>
    <s v="10.3906/elk-2102-89"/>
    <s v="W3203921286"/>
    <n v="0"/>
    <n v="0"/>
    <s v="openalex"/>
  </r>
  <r>
    <s v="A Review of Machine Learning and Deep Learning Techniques for Anomaly Detection in IoT Data"/>
    <s v="Redhwan Al-amri; Raja Kumar Murugesan; Mustafa Man; Alaa Fareed; Mohammed A. Al‐Sharafi; Ammar Ahmed Alkahtani"/>
    <n v="2021"/>
    <x v="7"/>
    <x v="4"/>
    <s v="survey/position"/>
    <s v="202.0"/>
    <s v="10.3390/app11125320"/>
    <s v="W3168992578"/>
    <n v="0"/>
    <n v="0"/>
    <s v="openalex"/>
  </r>
  <r>
    <s v="CloudShield: Real-time Anomaly Detection in the Cloud"/>
    <s v="Zecheng He; Ruby B. Lee"/>
    <n v="2021"/>
    <x v="0"/>
    <x v="4"/>
    <s v="systems/empirical"/>
    <m/>
    <m/>
    <s v="2108.08977"/>
    <n v="0"/>
    <n v="0"/>
    <s v="arxiv"/>
  </r>
  <r>
    <s v="Deep Learning for Anomaly Detection in Time-Series Data: Review, Analysis, and Guidelines"/>
    <s v="Kukjin Choi; Jihun Yi; Changhwa Park; Sungroh Yoon"/>
    <n v="2021"/>
    <x v="1"/>
    <x v="4"/>
    <s v="survey/position"/>
    <s v="576.0"/>
    <s v="10.1109/access.2021.3107975"/>
    <s v="W3198381997"/>
    <n v="0"/>
    <n v="0"/>
    <s v="openalex"/>
  </r>
  <r>
    <s v="Detecting Anomalies in Software Execution Logs with Siamese Network"/>
    <s v="Shayan Hashemi; Mika Mäntylä"/>
    <n v="2021"/>
    <x v="0"/>
    <x v="4"/>
    <s v="systems/empirical"/>
    <m/>
    <s v="10.1007/s10515-022-00365-7"/>
    <s v="2102.01452"/>
    <n v="0"/>
    <n v="0"/>
    <s v="arxiv"/>
  </r>
  <r>
    <s v="Detecting Log Anomalies with Multi-Head Attention (LAMA)"/>
    <s v="Yicheng Guo; Yujin Wen; Congwei Jiang; Yixin Lian; Yi Wan"/>
    <n v="2021"/>
    <x v="0"/>
    <x v="4"/>
    <s v="systems/empirical"/>
    <m/>
    <m/>
    <s v="2101.02392"/>
    <n v="0"/>
    <n v="0"/>
    <s v="arxiv"/>
  </r>
  <r>
    <s v="DRAM Failure Prediction in AIOps: Empirical Evaluation, Challenges and Opportunities"/>
    <s v="Zhiyue Wu; Hongzuo Xu; Guansong Pang; Fengyuan Yu; Yijie Wang; Songlei Jian; Yongjun Wang"/>
    <n v="2021"/>
    <x v="0"/>
    <x v="4"/>
    <s v="systems/empirical"/>
    <m/>
    <m/>
    <s v="2104.15052"/>
    <n v="0"/>
    <n v="0"/>
    <s v="arxiv"/>
  </r>
  <r>
    <s v="The Fishyscapes Benchmark: Measuring Blind Spots in Semantic Segmentation"/>
    <s v="Hermann Blum; Paul-Edouard Sarlin; Juan Nieto; Roland Siegwart; César Cadena"/>
    <n v="2021"/>
    <x v="33"/>
    <x v="4"/>
    <s v="unscreened(rule-classified)"/>
    <s v="152.0"/>
    <s v="10.1007/s11263-021-01511-6"/>
    <s v="W2933610837"/>
    <n v="0"/>
    <n v="0"/>
    <s v="openalex"/>
  </r>
  <r>
    <s v="The MVTec Anomaly Detection Dataset: A Comprehensive Real-World Dataset for Unsupervised Anomaly Detection"/>
    <s v="Paul Bergmann; Kilian Batzner; Michael Fauser; David Sattlegger; Carsten Steger"/>
    <n v="2021"/>
    <x v="33"/>
    <x v="4"/>
    <s v="unscreened(rule-classified)"/>
    <s v="555.0"/>
    <s v="10.1007/s11263-020-01400-4"/>
    <s v="W3118600296"/>
    <n v="0"/>
    <n v="0"/>
    <s v="openalex"/>
  </r>
  <r>
    <s v="Towards AIOps in Edge Computing Environments"/>
    <s v="Soeren Becker; Florian Schmidt; Anton Gulenko; Alexander Acker; Odej Kao"/>
    <n v="2021"/>
    <x v="0"/>
    <x v="4"/>
    <s v="unscreened(rule-classified)"/>
    <m/>
    <s v="10.1109/bigdata50022.2020.9378038"/>
    <s v="2102.09001"/>
    <n v="0"/>
    <n v="0"/>
    <s v="arxiv"/>
  </r>
  <r>
    <s v="Anomaly-Based Intrusion Detection From Network Flow Features Using Variational Autoencoder"/>
    <s v="Sultan Zavrak; Murat İskefiyeli"/>
    <n v="2020"/>
    <x v="1"/>
    <x v="4"/>
    <s v="systems/empirical"/>
    <s v="321.0"/>
    <s v="10.1109/access.2020.3001350"/>
    <s v="W3035311645"/>
    <n v="0"/>
    <n v="0"/>
    <s v="openalex"/>
  </r>
  <r>
    <s v="Anomaly Detection in Operating System Logs with Deep Learning-Based Sentiment Analysis"/>
    <s v="Hudan Studiawan; Ferdous Sohel; Christian Payne"/>
    <n v="2020"/>
    <x v="34"/>
    <x v="4"/>
    <s v="systems/empirical"/>
    <s v="68.0"/>
    <s v="10.1109/tdsc.2020.3037903"/>
    <s v="W3099104041"/>
    <n v="0"/>
    <n v="0"/>
    <s v="openalex"/>
  </r>
  <r>
    <s v="Anomaly detection with density estimation"/>
    <s v="Benjamin Nachman; David Shih"/>
    <n v="2020"/>
    <x v="35"/>
    <x v="4"/>
    <s v="systems/empirical"/>
    <s v="315.0"/>
    <s v="10.1103/physrevd.101.075042"/>
    <s v="W2998758436"/>
    <n v="0"/>
    <n v="0"/>
    <s v="openalex"/>
  </r>
  <r>
    <s v="An Unsupervised Deep Learning Model for Early Network Traffic Anomaly Detection"/>
    <s v="Ren‐Hung Hwang; Min-Chun Peng; Chien‐Wei Huang; Po‐Ching Lin; Van-Linh Nguyen"/>
    <n v="2020"/>
    <x v="1"/>
    <x v="4"/>
    <s v="systems/empirical"/>
    <s v="278.0"/>
    <s v="10.1109/access.2020.2973023"/>
    <s v="W3005641848"/>
    <n v="0"/>
    <n v="0"/>
    <s v="openalex"/>
  </r>
  <r>
    <s v="Task Failure Prediction in Cloud Data Centers Using Deep Learning"/>
    <s v="Jiechao Gao; Haoyu Wang; Haiying Shen"/>
    <n v="2020"/>
    <x v="36"/>
    <x v="4"/>
    <s v="unscreened(rule-classified)"/>
    <s v="217.0"/>
    <s v="10.1109/tsc.2020.2993728"/>
    <s v="W3025035827"/>
    <n v="0"/>
    <n v="0"/>
    <s v="openalex"/>
  </r>
  <r>
    <s v="Time Series Data Augmentation for Deep Learning: A Survey"/>
    <s v="Qingsong Wen; Liang Sun; Fan Yang; Xiaomin Song; Jingkun Gao; Xue Wang; Huan Xu"/>
    <n v="2020"/>
    <x v="0"/>
    <x v="4"/>
    <s v="unscreened(rule-classified)"/>
    <m/>
    <s v="10.24963/ijcai.2021/631"/>
    <s v="2002.12478"/>
    <n v="0"/>
    <n v="0"/>
    <s v="arxiv"/>
  </r>
  <r>
    <s v="WAUC: A Multi-Modal Database for Mental Workload Assessment Under Physical Activity"/>
    <s v="Isabela Albuquerque; Abhishek Tiwari; Mark Parent; Raymundo Cassani; Jean‐François Gagnon; Daniel Lafond; Sébastien Tremblay; Tiago H. Falk"/>
    <n v="2020"/>
    <x v="37"/>
    <x v="4"/>
    <s v="unscreened(rule-classified)"/>
    <s v="71.0"/>
    <s v="10.3389/fnins.2020.549524"/>
    <s v="W3110225343"/>
    <n v="0"/>
    <n v="0"/>
    <s v="openalex"/>
  </r>
  <r>
    <s v="A Hybrid Deep Learning-Based Model for Anomaly Detection in Cloud Datacenter Networks"/>
    <s v="Sahil Garg; Kuljeet Kaur; Neeraj Kumar; Georges Kaddoum; Albert Y. Zomaya; Rajiv Ranjan"/>
    <n v="2019"/>
    <x v="38"/>
    <x v="4"/>
    <s v="systems/empirical"/>
    <s v="286.0"/>
    <s v="10.1109/tnsm.2019.2927886"/>
    <s v="W2959716986"/>
    <n v="0"/>
    <n v="0"/>
    <s v="openalex"/>
  </r>
  <r>
    <s v="Unsupervised Anomaly Detection With LSTM Neural Networks"/>
    <s v="Tolga Ergen; Süleyman S. Kozat"/>
    <n v="2019"/>
    <x v="39"/>
    <x v="4"/>
    <s v="unscreened(rule-classified)"/>
    <s v="379.0"/>
    <s v="10.1109/tnnls.2019.2935975"/>
    <s v="W2766761849"/>
    <n v="0"/>
    <n v="0"/>
    <s v="openalex"/>
  </r>
  <r>
    <s v="Robust log-based anomaly detection on unstable log data"/>
    <s v="Xu Zhang; Yong Xu; Qingwei Lin; Bo Qiao"/>
    <n v="2019"/>
    <x v="5"/>
    <x v="4"/>
    <s v="systems/empirical"/>
    <s v="724.0"/>
    <s v="10.1145/3338906.3338931"/>
    <m/>
    <n v="0"/>
    <n v="1"/>
    <s v="landmark"/>
  </r>
  <r>
    <s v="LogAnomaly: Unsupervised Detection of Sequential and Quantitative Anomalies in Unstructured Logs"/>
    <s v="Weibin Meng; Ying Liu; Yichen Zhu; Shenglin Zhang"/>
    <n v="2019"/>
    <x v="5"/>
    <x v="4"/>
    <s v="systems/empirical"/>
    <s v="667.0"/>
    <s v="10.24963/ijcai.2019/658"/>
    <m/>
    <n v="0"/>
    <n v="1"/>
    <s v="landmark"/>
  </r>
  <r>
    <s v="Chained Anomaly Detection Models for Federated Learning: An Intrusion Detection Case Study"/>
    <s v="Davy Preuveneers; Vera Rimmer; Ilias Tsingenopoulos; Jan Spooren; Wouter Joosen; Elisabeth Ilie‐Zudor"/>
    <n v="2018"/>
    <x v="7"/>
    <x v="4"/>
    <s v="systems/empirical"/>
    <s v="320.0"/>
    <s v="10.3390/app8122663"/>
    <s v="W2903872466"/>
    <n v="0"/>
    <n v="0"/>
    <s v="openalex"/>
  </r>
  <r>
    <s v="Towards Autonomous Planetary Exploration"/>
    <s v="Martin J. Schuster; Sebastian G. Brunner; Kristin Bussmann; Stefan Büttner; Andreas Dömel; Matthias Hellerer; Hannah Lehner; Peter Lehner; Oliver Porges; Josef Reill; Sebastian Riedel; Mallikarjuna Vayugundla; Bernhard Vodermayer; Tim Bodenmüller; Christoph Brand; Werner Friedl; Iris Grixa; Heiko Hirschmüller; Michael Kaßecker; Zoltán-Csaba Márton; Christian Nissler; Felix Ruess; Michael Suppa; Ar"/>
    <n v="2017"/>
    <x v="40"/>
    <x v="4"/>
    <s v="unscreened(rule-classified)"/>
    <s v="91.0"/>
    <s v="10.1007/s10846-017-0680-9"/>
    <s v="W2767694002"/>
    <n v="0"/>
    <n v="0"/>
    <s v="openalex"/>
  </r>
  <r>
    <s v="DeepLog"/>
    <s v="Min Du; Li Fei-Fei; Guineng Zheng; Vivek Srikumar"/>
    <n v="2017"/>
    <x v="5"/>
    <x v="4"/>
    <s v="systems/empirical"/>
    <s v="1758.0"/>
    <s v="10.1145/3133956.3134015"/>
    <m/>
    <n v="0"/>
    <n v="1"/>
    <s v="landmark"/>
  </r>
  <r>
    <s v="Epistemological Debt: Cognitive Atrophy and Systemic Collapse in AI-Dependent Software Engineering"/>
    <s v="Frank Ginac"/>
    <n v="2026"/>
    <x v="0"/>
    <x v="5"/>
    <s v="survey/position"/>
    <m/>
    <m/>
    <s v="2604.26855"/>
    <n v="0"/>
    <n v="0"/>
    <s v="arxiv"/>
  </r>
  <r>
    <s v="Toward Trusted Onboard AI: Advancing Small Satellite Operations using Reinforcement Learning"/>
    <s v="Cannon Whitney; Joseph Melville"/>
    <n v="2025"/>
    <x v="0"/>
    <x v="5"/>
    <s v="unscreened(rule-classified)"/>
    <m/>
    <m/>
    <s v="2507.22198"/>
    <n v="0"/>
    <n v="0"/>
    <s v="arxiv"/>
  </r>
  <r>
    <s v="Enhancing Control Room Operator Decision Making"/>
    <s v="Joseph Mietkiewicz; Ammar N. Abbas; Chidera Winifred Amazu; Gabriele Baldissone; Anders Madsen; Micaela Demichela; Maria Chiara Leva"/>
    <n v="2024"/>
    <x v="41"/>
    <x v="5"/>
    <s v="systems/empirical"/>
    <s v="18.0"/>
    <s v="10.3390/pr12020328"/>
    <s v="W4391530538"/>
    <n v="0"/>
    <n v="0"/>
    <s v="openalex"/>
  </r>
  <r>
    <s v="Applications, Challenges, and Future Directions of Human-in-the-Loop Learning"/>
    <s v="Sushant Kumar; Sumit Datta; Vishakha Singh; Deepanwita Datta; Sanjay Kumar Singh; Ritesh Sharma"/>
    <n v="2024"/>
    <x v="1"/>
    <x v="5"/>
    <s v="unscreened(rule-classified)"/>
    <s v="147.0"/>
    <s v="10.1109/ACCESS.2024.3401547"/>
    <s v="W4396941516"/>
    <n v="1"/>
    <n v="0"/>
    <s v="openalex"/>
  </r>
  <r>
    <s v="A Review of Trustworthy and Explainable Artificial Intelligence (XAI)"/>
    <s v="Vinay Chamola; Vikas Hassija; A. Razia Sulthana; Debshishu Ghosh; Divyansh Dhingra; Biplab Sikdar"/>
    <n v="2023"/>
    <x v="1"/>
    <x v="5"/>
    <s v="unscreened(rule-classified)"/>
    <s v="316.0"/>
    <s v="10.1109/ACCESS.2023.3294569"/>
    <s v="W4385059984"/>
    <n v="1"/>
    <n v="0"/>
    <s v="openalex"/>
  </r>
  <r>
    <s v="Zero-touch AIOps in multi-operator 5G networks"/>
    <s v="Katherine Barabash ∗ Gino Carrozzo † Dean Lorenz ∗ Kalman Meth ∗ Shuaib M. Siddiqui"/>
    <n v="2022"/>
    <x v="42"/>
    <x v="5"/>
    <s v="unscreened(rule-classified)"/>
    <s v="3.0"/>
    <s v="10.5281/zenodo.7438857"/>
    <s v="W4311566849"/>
    <n v="0"/>
    <n v="0"/>
    <s v="openalex"/>
  </r>
  <r>
    <s v="A Neuroergonomics Approach to Mental Workload, Engagement and Human Performance"/>
    <s v="Frédéric Dehais; Alex Lafont; Raphaëlle N. Roy; Stephen Fairclough"/>
    <n v="2020"/>
    <x v="37"/>
    <x v="5"/>
    <s v="survey/position"/>
    <s v="245.0"/>
    <s v="10.3389/fnins.2020.00268"/>
    <s v="W3015212512"/>
    <n v="0"/>
    <n v="0"/>
    <s v="openalex"/>
  </r>
  <r>
    <s v="Autopilot, Mind Wandering, and the Out of the Loop Performance Problem"/>
    <s v="Jonas Gouraud; Arnaud Delorme; Bruno Berberian"/>
    <n v="2017"/>
    <x v="37"/>
    <x v="5"/>
    <s v="survey/position"/>
    <s v="57.0"/>
    <s v="10.3389/fnins.2017.00541"/>
    <s v="W2763605495"/>
    <n v="0"/>
    <n v="0"/>
    <s v="openalex"/>
  </r>
  <r>
    <s v="Complacency and Bias in Human Use of Automation: An Attentional Integration"/>
    <s v="Raja Parasuraman; Dietrich Manzey"/>
    <n v="2010"/>
    <x v="11"/>
    <x v="5"/>
    <s v="systems/empirical"/>
    <s v="1501.0"/>
    <s v="10.1177/0018720810376055"/>
    <m/>
    <n v="0"/>
    <n v="1"/>
    <s v="landmark"/>
  </r>
  <r>
    <s v="ActionNex: A Virtual Outage Manager for Cloud Computing"/>
    <s v="Zhenfeng Lin; Haoji Hu; Ming Hao; Xuchao Zhang; Ryan Zhang; Junhao Li; Ze Li; Oleg Kulygin"/>
    <n v="2026"/>
    <x v="0"/>
    <x v="6"/>
    <s v="systems/empirical"/>
    <m/>
    <m/>
    <s v="2604.03512"/>
    <n v="0"/>
    <n v="0"/>
    <s v="arxiv"/>
  </r>
  <r>
    <s v="Agentic Incident Response through Digital Twin-Enhanced Multiscale Planning"/>
    <s v="Yiran Gao; Tao Li; Kim Hammar"/>
    <n v="2026"/>
    <x v="0"/>
    <x v="6"/>
    <s v="systems/empirical"/>
    <m/>
    <m/>
    <s v="2608.02422"/>
    <n v="0"/>
    <n v="0"/>
    <s v="arxiv"/>
  </r>
  <r>
    <s v="Agentic Root Cause Analysis through Evidence-Grounded Reasoning"/>
    <s v="Amaury Wei; Olga Fink"/>
    <n v="2026"/>
    <x v="0"/>
    <x v="6"/>
    <s v="systems/empirical"/>
    <m/>
    <m/>
    <s v="2607.22385"/>
    <n v="0"/>
    <n v="0"/>
    <s v="arxiv"/>
  </r>
  <r>
    <s v="AgentSys: Secure and Dynamic LLM Agents Through Explicit Hierarchical Memory Management"/>
    <s v="Ruoyao Wen; Hao Li; Chaowei Xiao; Ning Zhang"/>
    <n v="2026"/>
    <x v="0"/>
    <x v="6"/>
    <s v="systems/empirical"/>
    <m/>
    <m/>
    <s v="2602.07398"/>
    <n v="0"/>
    <n v="0"/>
    <s v="arxiv"/>
  </r>
  <r>
    <s v="AI Observability for Large Language Model Systems: A Multi-Layer Analysis of Monitoring Approaches from Confidence Calibration to Infrastructure Tracing"/>
    <s v="Twinkll Sisodia"/>
    <n v="2026"/>
    <x v="0"/>
    <x v="6"/>
    <s v="survey/position"/>
    <m/>
    <m/>
    <s v="2604.26152"/>
    <n v="0"/>
    <n v="0"/>
    <s v="arxiv"/>
  </r>
  <r>
    <s v="AIR: Improving Agent Safety through Incident Response"/>
    <s v="Zibo Xiao; Jun Sun; Junjie Chen"/>
    <n v="2026"/>
    <x v="0"/>
    <x v="6"/>
    <s v="systems/empirical"/>
    <m/>
    <m/>
    <s v="2602.11749"/>
    <n v="0"/>
    <n v="0"/>
    <s v="arxiv"/>
  </r>
  <r>
    <s v="An LLM-Based Agentic Network Traffic Incident-Report Approach Towards Explainable-AI Network Defense"/>
    <s v="Chia-Hong Chou; Arjun Sudheer; Younghee Park"/>
    <n v="2026"/>
    <x v="43"/>
    <x v="6"/>
    <s v="systems/empirical"/>
    <s v="1.0"/>
    <s v="10.3390/jsan15020032"/>
    <s v="W7151474267"/>
    <n v="0"/>
    <n v="0"/>
    <s v="openalex"/>
  </r>
  <r>
    <s v="AOI: Turning Failed Trajectories into Training Signals for Autonomous Cloud Diagnosis"/>
    <s v="Pei Yang; Wanyi Chen; Asuka Yuxi Zheng; Xueqian Li; Xiang Li; Haoqin Tu; Jie Xiao; Yifan Pang"/>
    <n v="2026"/>
    <x v="0"/>
    <x v="6"/>
    <s v="systems/empirical"/>
    <m/>
    <m/>
    <s v="2603.03378"/>
    <n v="0"/>
    <n v="0"/>
    <s v="arxiv"/>
  </r>
  <r>
    <s v="Autonomous Incident Resolution at Hyperscale: An Agentic AI Architecture for Network Operations"/>
    <s v="Arun Malik"/>
    <n v="2026"/>
    <x v="0"/>
    <x v="6"/>
    <s v="systems/empirical"/>
    <m/>
    <m/>
    <s v="2606.09122"/>
    <n v="0"/>
    <n v="0"/>
    <s v="arxiv"/>
  </r>
  <r>
    <s v="CalVerT: Augmenting Agents with Calibrated Verifier Telemetry Improves Action and Learning in Knowledge-Intensive Tasks"/>
    <s v="Ashwin Vinod; Ying Ding; Elias Stengel-Eskin"/>
    <n v="2026"/>
    <x v="0"/>
    <x v="6"/>
    <s v="systems/empirical"/>
    <m/>
    <m/>
    <s v="2606.21777"/>
    <n v="0"/>
    <n v="0"/>
    <s v="arxiv"/>
  </r>
  <r>
    <s v="Causal Software Engineering: A Vision and Roadmap"/>
    <s v="Roberto Pietrantuono; Luca Giamattei; Stefano Russo; Julien Siebert; Neil Walkinshaw"/>
    <n v="2026"/>
    <x v="0"/>
    <x v="6"/>
    <s v="survey/position"/>
    <m/>
    <s v="10.1145/3803437.3805585"/>
    <s v="2605.02454"/>
    <n v="0"/>
    <n v="0"/>
    <s v="arxiv"/>
  </r>
  <r>
    <s v="Debugging the Debuggers: Failure-Anchored Structured Recovery for Software Engineering Agents"/>
    <s v="Chenyu Zhao; Shenglin Zhang; Yihang Lin; Wenwei Gu; Zhimin Chen; Yongqian Sun; Dan Pei; Chetan Bansal"/>
    <n v="2026"/>
    <x v="0"/>
    <x v="6"/>
    <s v="systems/empirical"/>
    <m/>
    <m/>
    <s v="2605.08717"/>
    <n v="0"/>
    <n v="0"/>
    <s v="arxiv"/>
  </r>
  <r>
    <s v="Diagnosis-Driven Automatic Repair for Agentic Workflow via Symbolic Inference"/>
    <s v="Xuyan Ma; Yawen Wang; Junjie Wang; Xiaofei Xie; Boyu Wu; Mingyang Li; Dandan Wang; Qing Wang"/>
    <n v="2026"/>
    <x v="0"/>
    <x v="6"/>
    <s v="systems/empirical"/>
    <m/>
    <m/>
    <s v="2607.02882"/>
    <n v="0"/>
    <n v="0"/>
    <s v="arxiv"/>
  </r>
  <r>
    <s v="FixItFlow: Automated Troubleshooting Guide Generation from Cloud Incidents"/>
    <s v="Srihari Unnikrishnan; Jaskaran Singh Walia; Drishti Goel; Supriyo Ghosh"/>
    <n v="2026"/>
    <x v="0"/>
    <x v="6"/>
    <s v="systems/empirical"/>
    <m/>
    <m/>
    <s v="2607.13035"/>
    <n v="0"/>
    <n v="0"/>
    <s v="arxiv"/>
  </r>
  <r>
    <s v="From Automated to Autonomous: Hierarchical Agent-native Network Architecture (HANA)"/>
    <s v="Binghan Wu; Shoufeng Wang; Yunxin Liu; Ya-Qin Zhang; Joseph Sifakis; Ye Ouyang"/>
    <n v="2026"/>
    <x v="44"/>
    <x v="6"/>
    <s v="systems/empirical"/>
    <m/>
    <s v="10.1109/lnet.2026.3693226"/>
    <s v="2605.20608"/>
    <n v="0"/>
    <n v="0"/>
    <s v="arxiv"/>
  </r>
  <r>
    <s v="From Reactive to Autonomous: Evolution of AI Operations in Cloud Network Infrastructure"/>
    <s v="Arun Malik"/>
    <n v="2026"/>
    <x v="0"/>
    <x v="6"/>
    <s v="survey/position"/>
    <m/>
    <m/>
    <s v="2608.14574"/>
    <n v="0"/>
    <n v="0"/>
    <s v="arxiv"/>
  </r>
  <r>
    <s v="Governance-Aware Agent Telemetry for Closed-Loop Enforcement in Multi-Agent AI Systems"/>
    <s v="Anshul Pathak; Nishant Jain"/>
    <n v="2026"/>
    <x v="0"/>
    <x v="6"/>
    <s v="systems/empirical"/>
    <m/>
    <m/>
    <s v="2604.05119"/>
    <n v="0"/>
    <n v="0"/>
    <s v="arxiv"/>
  </r>
  <r>
    <s v="TELLER: Non-intrusive Cross-Layer Root-Cause Analysis for LLM Inference"/>
    <s v="Ruilin Xu; Junyi Li; Pengfei Chen; Zongxuan Xie"/>
    <n v="2026"/>
    <x v="0"/>
    <x v="6"/>
    <s v="unscreened(rule-classified)"/>
    <m/>
    <s v="10.1145/3832783.3837440"/>
    <s v="2608.01975"/>
    <n v="0"/>
    <n v="0"/>
    <s v="arxiv"/>
  </r>
  <r>
    <s v="The Semantic Training Gap: Ontology-Grounded Tool Architectures for Industrial AI Agent Systems"/>
    <s v="Grama Chethan"/>
    <n v="2026"/>
    <x v="0"/>
    <x v="6"/>
    <s v="unscreened(rule-classified)"/>
    <m/>
    <m/>
    <s v="2605.11234"/>
    <n v="0"/>
    <n v="0"/>
    <s v="arxiv"/>
  </r>
  <r>
    <s v="Towards LLM Accelerated Rapid Reviews for Software Tool Discovery -- Case for Log Anomaly Detection"/>
    <s v="Jesse Nyyssölä; Hamza Bin Mazhar; Alexander Bakhtin; Matteo Esposito; Nana Reinikainen; Yuqing Wang; Ying Song; Davide Taibi"/>
    <n v="2026"/>
    <x v="0"/>
    <x v="6"/>
    <s v="unscreened(rule-classified)"/>
    <m/>
    <m/>
    <s v="2606.16839"/>
    <n v="0"/>
    <n v="0"/>
    <s v="arxiv"/>
  </r>
  <r>
    <s v="TraceSIR: A Multi-Agent Framework for Structured Analysis and Reporting of Agentic Execution Traces"/>
    <s v="Shu-Xun Yang; Cunxiang Wang; Haoke Zhang; Wenbo Yu; Lindong Wu; Jiayi Gui; Dayong Yang; Yukuo Cen"/>
    <n v="2026"/>
    <x v="0"/>
    <x v="6"/>
    <s v="unscreened(rule-classified)"/>
    <m/>
    <m/>
    <s v="2603.00623"/>
    <n v="0"/>
    <n v="0"/>
    <s v="arxiv"/>
  </r>
  <r>
    <s v="TRACE: Trajectory Reasoning through Adaptive Cross-Step Evidence Aggregation for LLM Agents"/>
    <s v="Vijitha Mittapalli; Shreyaa Jayant Dani; Satya Srujana Pilli; Snigdha Ansu; Mohammadreza Teymoorianfard; Franck Dernoncourt; Hongjie Chen; Yu Wang"/>
    <n v="2026"/>
    <x v="0"/>
    <x v="6"/>
    <s v="unscreened(rule-classified)"/>
    <m/>
    <m/>
    <s v="2606.07054"/>
    <n v="0"/>
    <n v="0"/>
    <s v="arxiv"/>
  </r>
  <r>
    <s v="Tropical: Enhancing SLO Attainment in Disaggregated LLM Serving via SLO-Aware Multiplexing"/>
    <s v="Jinming Ma; Jiefei Chen; Xiuhong Li; Jiangfei Duan; Haojie Duanmu; Xingcheng Zhang; Chao Yang; Dahua Lin"/>
    <n v="2026"/>
    <x v="0"/>
    <x v="6"/>
    <s v="unscreened(rule-classified)"/>
    <m/>
    <m/>
    <s v="2606.16264"/>
    <n v="0"/>
    <n v="0"/>
    <s v="arxiv"/>
  </r>
  <r>
    <s v="UModel: An Agent-Ready Observability Data Modeling Method at Scale"/>
    <s v="Changhua Pei; Zheyuan Li; Zexin Wang; Hang Cui; Xiaohui Nie; Qi Zhou; Fang Situ; Cheng Zhang"/>
    <n v="2026"/>
    <x v="0"/>
    <x v="6"/>
    <s v="unscreened(rule-classified)"/>
    <m/>
    <m/>
    <s v="2606.04799"/>
    <n v="0"/>
    <n v="0"/>
    <s v="arxiv"/>
  </r>
  <r>
    <s v="When Agents Do Not Stop: Uncovering Infinite Agentic Loops in LLM Agents"/>
    <s v="Xinyi Hou; Shenao Wang; Yanjie Zhao; Haoyu Wang"/>
    <n v="2026"/>
    <x v="0"/>
    <x v="6"/>
    <s v="unscreened(rule-classified)"/>
    <m/>
    <m/>
    <s v="2607.01641"/>
    <n v="0"/>
    <n v="0"/>
    <s v="arxiv"/>
  </r>
  <r>
    <s v="Why Do AI Agents Systematically Fail at Cloud Root Cause Analysis?"/>
    <s v="Taeyoon Kim; Woohyeok Park; Hoyeong Yun; Kyungyong Lee"/>
    <n v="2026"/>
    <x v="0"/>
    <x v="6"/>
    <s v="unscreened(rule-classified)"/>
    <m/>
    <m/>
    <s v="2602.09937"/>
    <n v="0"/>
    <n v="0"/>
    <s v="arxiv"/>
  </r>
  <r>
    <s v="A Comprehensive Survey on LLM‐Based Network Management and Operations"/>
    <s v="Jibum Hong; Jibum Hong; Nguyen Van Tu; James Won‐Ki Hong; James Won‐Ki Hong"/>
    <n v="2025"/>
    <x v="45"/>
    <x v="6"/>
    <s v="survey/position"/>
    <s v="13.0"/>
    <s v="10.1002/nem.70029"/>
    <s v="W4415071524"/>
    <n v="1"/>
    <n v="0"/>
    <s v="openalex"/>
  </r>
  <r>
    <s v="Adapting Large Language Models for Parameter-Efficient Log Anomaly Detection"/>
    <s v="Ying Fu Lim; Jiawen Zhu; Guansong Pang"/>
    <n v="2025"/>
    <x v="0"/>
    <x v="6"/>
    <s v="systems/empirical"/>
    <m/>
    <m/>
    <s v="2503.08045"/>
    <n v="0"/>
    <n v="0"/>
    <s v="arxiv"/>
  </r>
  <r>
    <s v="Agentic AI for 6G: A New Paradigm for Autonomous RAN Security Compliance"/>
    <s v="Sotiris Chatzimiltis; Mahdi Boloursaz Mashhadi; Mohammad Shojafar; Merouane Debbah; Rahim Tafazolli"/>
    <n v="2025"/>
    <x v="0"/>
    <x v="6"/>
    <s v="systems/empirical"/>
    <m/>
    <m/>
    <s v="2512.12400"/>
    <n v="0"/>
    <n v="0"/>
    <s v="arxiv"/>
  </r>
  <r>
    <s v="AI-Enhanced Cloud Reliability Engineering: Integrating Incident Automation And Aiops For National Resilience"/>
    <s v="Saravanan Raj"/>
    <n v="2025"/>
    <x v="46"/>
    <x v="6"/>
    <s v="systems/empirical"/>
    <s v="10.0"/>
    <s v="10.63278/jicrcr.vi.3522"/>
    <s v="W7116766021"/>
    <n v="0"/>
    <n v="0"/>
    <s v="openalex"/>
  </r>
  <r>
    <s v="AIOps for log anomaly detection in the era of LLMs: A systematic literature review"/>
    <s v="Miguel De la Cruz Cabello; Tiago Prince Sales; Marcos Machado"/>
    <n v="2025"/>
    <x v="47"/>
    <x v="6"/>
    <s v="survey/position"/>
    <s v="11.0"/>
    <s v="10.1016/j.iswa.2025.200608"/>
    <s v="W4416426157"/>
    <n v="1"/>
    <n v="0"/>
    <s v="openalex"/>
  </r>
  <r>
    <s v="ALPHA: LLM-Enabled Active Learning for Human-Free Network Anomaly Detection"/>
    <s v="Xuanhao Luo; Shivesh Madan Nath Jha; Akruti Sinha; Zhizhen Li; Yuchen Liu"/>
    <n v="2025"/>
    <x v="0"/>
    <x v="6"/>
    <s v="systems/empirical"/>
    <m/>
    <m/>
    <s v="2509.05936"/>
    <n v="0"/>
    <n v="0"/>
    <s v="arxiv"/>
  </r>
  <r>
    <s v="Anomaly Detection and Root Cause Analysis in Cloud-Native Environments Using Large Language Models and Bayesian Networks"/>
    <s v="Diego Frazatto Pedroso; Luís Almeida; Lucas Eduardo Gulka Pulcinelli; William Akihiro Alves Aisawa; Inês Dutra; Sarita Mazzini Bruschi"/>
    <n v="2025"/>
    <x v="1"/>
    <x v="6"/>
    <s v="systems/empirical"/>
    <s v="12.0"/>
    <s v="10.1109/access.2025.3565220"/>
    <s v="W4409916700"/>
    <n v="0"/>
    <n v="0"/>
    <s v="openalex"/>
  </r>
  <r>
    <s v="A Novel GPT-Based Framework for Anomaly Detection in System Logs"/>
    <s v="Zeng Zhang; Wenjie Yin; Xiaoqi Li"/>
    <n v="2025"/>
    <x v="0"/>
    <x v="6"/>
    <s v="systems/empirical"/>
    <m/>
    <m/>
    <s v="2510.16044"/>
    <n v="0"/>
    <n v="0"/>
    <s v="arxiv"/>
  </r>
  <r>
    <s v="AOI: Context-Aware Multi-Agent Operations via Dynamic Scheduling and Hierarchical Memory Compression"/>
    <s v="Zishan Bai; Hanxuan Chen; Jiayi Gu; Wenqian Weng; Enze Ge; Jiacheng Shi; Yichao Zhang; Zhimo Han"/>
    <n v="2025"/>
    <x v="0"/>
    <x v="6"/>
    <s v="systems/empirical"/>
    <m/>
    <m/>
    <s v="2512.13956"/>
    <n v="0"/>
    <n v="0"/>
    <s v="arxiv"/>
  </r>
  <r>
    <s v="A Practical Approach to Defining a Framework for Developing an Agentic AIOps System"/>
    <s v="Răzvan Daniel Zota; Corneliu Bărbulescu; Radu Constantinescu"/>
    <n v="2025"/>
    <x v="18"/>
    <x v="6"/>
    <s v="systems/empirical"/>
    <s v="24.0"/>
    <s v="10.3390/electronics14091775"/>
    <s v="W4409895145"/>
    <n v="0"/>
    <n v="0"/>
    <s v="openalex"/>
  </r>
  <r>
    <s v="A Review of Generative AI and DevOps Pipelines: CI/CD, Agentic Automation, MLOps Integration, and LLMs"/>
    <s v="Satyadhar Joshi"/>
    <n v="2025"/>
    <x v="48"/>
    <x v="6"/>
    <s v="survey/position"/>
    <s v="8.0"/>
    <s v="10.55524/ijircst.2025.13.4.1"/>
    <s v="W4412047804"/>
    <n v="0"/>
    <n v="0"/>
    <s v="openalex"/>
  </r>
  <r>
    <s v="Artificial Intelligence Agent-Enabled Predictive Maintenance: Conceptual Proposal and Basic Framework"/>
    <s v="Wenyu Jiang; Fuwen Hu"/>
    <n v="2025"/>
    <x v="49"/>
    <x v="6"/>
    <s v="systems/empirical"/>
    <s v="16.0"/>
    <s v="10.3390/computers14080329"/>
    <s v="W4413380618"/>
    <n v="0"/>
    <n v="0"/>
    <s v="openalex"/>
  </r>
  <r>
    <s v="Audit-Safe Agentic RAG Framework for Regulated Enterprise Systems: A Trustworthy AI Architecture for SAP, Finance, Healthcare, and Government Workflows"/>
    <s v="Mahendra Vardhan Amilineni"/>
    <n v="2025"/>
    <x v="50"/>
    <x v="6"/>
    <s v="systems/empirical"/>
    <s v="16.0"/>
    <s v="10.29284/7fjzk883"/>
    <s v="W7164403684"/>
    <n v="0"/>
    <n v="0"/>
    <s v="openalex"/>
  </r>
  <r>
    <s v="BatteryAgent: Synergizing Physics-Informed Interpretation with LLM Reasoning for Intelligent Battery Fault Diagnosis"/>
    <s v="Songqi Zhou; Ruixue Liu; Boman Su; Jiazhou Wang; Yixing Wang; Benben Jiang"/>
    <n v="2025"/>
    <x v="0"/>
    <x v="6"/>
    <s v="systems/empirical"/>
    <m/>
    <m/>
    <s v="2512.24686"/>
    <n v="0"/>
    <n v="0"/>
    <s v="arxiv"/>
  </r>
  <r>
    <s v="CoE-Ops: Collaboration of LLM-based Experts for AIOps Question-Answering"/>
    <s v="Jinkun Zhao; Yuanshuai Wang; Xingjian Zhang; Ruibo Chen; Xingchuang Liao; Junle Wang; Lei Huang; Kui Zhang"/>
    <n v="2025"/>
    <x v="0"/>
    <x v="6"/>
    <s v="systems/empirical"/>
    <m/>
    <m/>
    <s v="2507.22937"/>
    <n v="0"/>
    <n v="0"/>
    <s v="arxiv"/>
  </r>
  <r>
    <s v="DrP: Meta's Efficient Investigations Platform at Scale"/>
    <s v="Shubham Somani; Vanish Talwar; Madhura Parikh; Eduardo Hernandez; Jimmy Wang; Shreya Shah; Chinmay Gandhi; Sanjay Sundarajan"/>
    <n v="2025"/>
    <x v="0"/>
    <x v="6"/>
    <s v="systems/empirical"/>
    <m/>
    <m/>
    <s v="2512.04250"/>
    <n v="0"/>
    <n v="0"/>
    <s v="arxiv"/>
  </r>
  <r>
    <s v="Enhancing Cloud Resilience through AI-Driven Root Cause Analysis"/>
    <s v="Saravanan Raj"/>
    <n v="2025"/>
    <x v="51"/>
    <x v="6"/>
    <s v="survey/position"/>
    <s v="16.0"/>
    <s v="10.48047/jocaaa.2025.34.11.35"/>
    <s v="W4416775005"/>
    <n v="0"/>
    <n v="0"/>
    <s v="openalex"/>
  </r>
  <r>
    <s v="Flow-of-Action: SOP Enhanced LLM-Based Multi-Agent System for Root Cause Analysis"/>
    <s v="Changhua Pei; Zexin Wang; Fengrui Liu; Zeyan Li; Yang Liu; Xiao He; Rong Kang; Tieying Zhang; Jianjun Chen; Jianhui Li; Gaogang Xie; Dan Pei"/>
    <n v="2025"/>
    <x v="22"/>
    <x v="6"/>
    <s v="systems/empirical"/>
    <s v="16.0"/>
    <s v="10.1145/3701716.3715225"/>
    <s v="W4410636386"/>
    <n v="0"/>
    <n v="1"/>
    <s v="openalex"/>
  </r>
  <r>
    <s v="TAMO:Fine-Grained Root Cause Analysis via Tool-Assisted LLM Agent With Multi-Modality Observation Data in Cloud-Native Systems"/>
    <s v="Xiao Zhang; Qi Wang; Mingyi Li; Yuan Yuan; Mengbai Xiao; Fuzhen Zhuang; Dongxiao Yu"/>
    <n v="2025"/>
    <x v="36"/>
    <x v="6"/>
    <s v="unscreened(rule-classified)"/>
    <s v="7.0"/>
    <s v="10.1109/TSC.2025.3629066"/>
    <s v="W4415933773"/>
    <n v="1"/>
    <n v="0"/>
    <s v="openalex"/>
  </r>
  <r>
    <s v="TempoBench: Reasoning Execution Without Causal Attribution Is Just Simulation"/>
    <s v="Nikolaus Holzer; William Fishell; Baishakhi Ray; Mark Santolucito"/>
    <n v="2025"/>
    <x v="0"/>
    <x v="6"/>
    <s v="unscreened(rule-classified)"/>
    <m/>
    <m/>
    <s v="2510.27544"/>
    <n v="0"/>
    <n v="0"/>
    <s v="arxiv"/>
  </r>
  <r>
    <s v="The Multi-Agent Fault Localization System Based on Monte Carlo Tree Search Approach"/>
    <s v="Rui Ren"/>
    <n v="2025"/>
    <x v="0"/>
    <x v="6"/>
    <s v="unscreened(rule-classified)"/>
    <m/>
    <m/>
    <s v="2507.22800"/>
    <n v="0"/>
    <n v="0"/>
    <s v="arxiv"/>
  </r>
  <r>
    <s v="Towards AI-Driven Human-Machine Co-Teaming for Adaptive and Agile Cyber Security Operation Centers"/>
    <s v="Massimiliano Albanese; Xinming Ou; Kevin Lybarger; Daniel Lende; Dmitry Goldgof"/>
    <n v="2025"/>
    <x v="0"/>
    <x v="6"/>
    <s v="unscreened(rule-classified)"/>
    <m/>
    <m/>
    <s v="2505.06394"/>
    <n v="0"/>
    <n v="0"/>
    <s v="arxiv"/>
  </r>
  <r>
    <s v="Traceability and Accountability in Role-Specialized Multi-Agent LLM Pipelines"/>
    <s v="Amine Barrak"/>
    <n v="2025"/>
    <x v="22"/>
    <x v="6"/>
    <s v="unscreened(rule-classified)"/>
    <s v="7.0"/>
    <s v="10.1109/asew67777.2025.00064"/>
    <s v="W7124863487"/>
    <n v="0"/>
    <n v="0"/>
    <s v="openalex"/>
  </r>
  <r>
    <s v="Transforming Cyber Defense: Harnessing Agentic and Frontier AI for Proactive, Ethical Threat Intelligence"/>
    <s v="Krti Tallam"/>
    <n v="2025"/>
    <x v="0"/>
    <x v="6"/>
    <s v="unscreened(rule-classified)"/>
    <m/>
    <m/>
    <s v="2503.00164"/>
    <n v="0"/>
    <n v="0"/>
    <s v="arxiv"/>
  </r>
  <r>
    <s v="Transitioning from MLOps to LLMOps: Navigating the Unique Challenges of Large Language Models"/>
    <s v="Saurabh Pahune; Zahid Akhtar"/>
    <n v="2025"/>
    <x v="10"/>
    <x v="6"/>
    <s v="unscreened(rule-classified)"/>
    <s v="52.0"/>
    <s v="10.3390/info16020087"/>
    <s v="W4406756422"/>
    <n v="0"/>
    <n v="0"/>
    <s v="openalex"/>
  </r>
  <r>
    <s v="Triangle: Empowering Incident Triage with Multi-Agent"/>
    <s v="Zhaoyang Yu; Aoyang Fang; Minghua Ma; Jaskaran Singh Walia; Chaoyun Zhang; Shu Chi; Ze Li; Murali Chintalapati; Xuchao Zhang; Rujia Wang; Chetan Bansal; Saravan Rajmohan; Qingwei Lin; Shenglin Zhang; Dan Pei; Pinjia He"/>
    <n v="2025"/>
    <x v="22"/>
    <x v="6"/>
    <s v="unscreened(rule-classified)"/>
    <s v="3.0"/>
    <s v="10.1109/ase63991.2025.00062"/>
    <s v="W7125951857"/>
    <n v="0"/>
    <n v="0"/>
    <s v="openalex"/>
  </r>
  <r>
    <s v="TRiSM for Agentic AI: A Review of Trust, Risk, and Security Management in LLM-based Agentic Multi-Agent Systems"/>
    <s v="Shaina Raza; Ranjan Sapkota; Manoj Karkee; Christos Emmanouilidis"/>
    <n v="2025"/>
    <x v="12"/>
    <x v="6"/>
    <s v="unscreened(rule-classified)"/>
    <s v="4.0"/>
    <s v="10.48550/arxiv.2506.04133"/>
    <s v="W4416075184"/>
    <n v="0"/>
    <n v="0"/>
    <s v="openalex"/>
  </r>
  <r>
    <s v="Trustworthy agentic AI systems: a cross-layer review of architectures, threat models, and governance strategies for real-world deployment"/>
    <s v="IBRAHIM ADABARA; Bashir Olaniyi Sadiq; Aliyu Nuhu Shuaibu; Yale Ibrahim Danjuma; Maninti Venkateswarlu"/>
    <n v="2025"/>
    <x v="52"/>
    <x v="6"/>
    <s v="unscreened(rule-classified)"/>
    <s v="21.0"/>
    <s v="10.12688/f1000research.169927.1"/>
    <s v="W4414133540"/>
    <n v="1"/>
    <n v="0"/>
    <s v="openalex"/>
  </r>
  <r>
    <s v="VerilogCoder: Autonomous Verilog Coding Agents with Graph-based Planning and Abstract Syntax Tree (AST)-based Waveform Tracing Tool"/>
    <s v="Chia-Tung Ho; Haoxing Ren; Brucek Khailany"/>
    <n v="2025"/>
    <x v="53"/>
    <x v="6"/>
    <s v="unscreened(rule-classified)"/>
    <s v="45.0"/>
    <s v="10.1609/aaai.v39i1.32007"/>
    <s v="W4409369309"/>
    <n v="0"/>
    <n v="0"/>
    <s v="openalex"/>
  </r>
  <r>
    <s v="When AIOps Become &quot;AI Oops&quot;: Subverting LLM-driven IT Operations via Telemetry Manipulation"/>
    <s v="Dario Pasquini; Evgenios M. Kornaropoulos; Giuseppe Ateniese; Omer Akgul; Athanasios Theocharis; Petros Efstathopoulos"/>
    <n v="2025"/>
    <x v="0"/>
    <x v="6"/>
    <s v="unscreened(rule-classified)"/>
    <m/>
    <m/>
    <s v="2508.06394"/>
    <n v="0"/>
    <n v="0"/>
    <s v="arxiv"/>
  </r>
  <r>
    <s v="Agentic AI: A Comprehensive Survey of Technologies, Applications, and Societal Implications"/>
    <s v="Ashis Kumar Pati"/>
    <n v="2025"/>
    <x v="1"/>
    <x v="6"/>
    <s v="unscreened(rule-classified)"/>
    <s v="65.0"/>
    <s v="10.1109/ACCESS.2025.3585609"/>
    <s v="W4411995908"/>
    <n v="1"/>
    <n v="0"/>
    <s v="openalex"/>
  </r>
  <r>
    <s v="Agentic AI: Autonomous Intelligence for Complex Goals—A Comprehensive Survey"/>
    <s v="Deepak Bhaskar Acharya; Karthigeyan Kuppan; B Divya"/>
    <n v="2025"/>
    <x v="1"/>
    <x v="6"/>
    <s v="unscreened(rule-classified)"/>
    <s v="562.0"/>
    <s v="10.1109/ACCESS.2025.3532853"/>
    <s v="W4406728221"/>
    <n v="1"/>
    <n v="0"/>
    <s v="openalex"/>
  </r>
  <r>
    <s v="The role of agentic AI in shaping a smart future: A systematic review"/>
    <s v="Soodeh Hosseini; Hossein Seilani"/>
    <n v="2025"/>
    <x v="54"/>
    <x v="6"/>
    <s v="unscreened(rule-classified)"/>
    <s v="216.0"/>
    <s v="10.1016/j.array.2025.100399"/>
    <s v="W4410197190"/>
    <n v="1"/>
    <n v="0"/>
    <s v="openalex"/>
  </r>
  <r>
    <s v="Towards LLM-Based Failure Localization in Production-Scale Networks"/>
    <s v="Chenxu Wang; Xumiao Zhang; Runwei Lu; Xianshang Lin"/>
    <n v="2025"/>
    <x v="5"/>
    <x v="6"/>
    <s v="systems/empirical"/>
    <s v="10.0"/>
    <s v="10.1145/3718958.3750505"/>
    <m/>
    <n v="0"/>
    <n v="1"/>
    <s v="landmark"/>
  </r>
  <r>
    <s v="Agentic AI in Predictive AIOps: Enhancing IT Autonomy and Performance"/>
    <s v="Shanmugasundaram Sivakumar"/>
    <n v="2024"/>
    <x v="55"/>
    <x v="6"/>
    <s v="survey/position"/>
    <s v="21.0"/>
    <s v="10.18535/ijsrm/v12i11.ec01"/>
    <s v="W4404008845"/>
    <n v="0"/>
    <n v="0"/>
    <s v="openalex"/>
  </r>
  <r>
    <s v="AI Assistants for Incident Lifecycle in a Microservice Environment: A Systematic Literature Review"/>
    <s v="Dahlia Ziqi Zhou; Marios Fokaefs"/>
    <n v="2024"/>
    <x v="0"/>
    <x v="6"/>
    <s v="survey/position"/>
    <m/>
    <m/>
    <s v="2410.04334"/>
    <n v="0"/>
    <n v="0"/>
    <s v="arxiv"/>
  </r>
  <r>
    <s v="AIOps and DevOps : Catalysts of Digital Transformation in the Age of Automated Operations"/>
    <s v="Sekhar Chittala"/>
    <n v="2024"/>
    <x v="56"/>
    <x v="6"/>
    <s v="survey/position"/>
    <s v="1.0"/>
    <s v="10.32628/cseit24106163"/>
    <s v="W4404115010"/>
    <n v="0"/>
    <n v="0"/>
    <s v="openalex"/>
  </r>
  <r>
    <s v="AIOps in Action: Automating AI Deployment and Management of Large Language Models for Scalable and Ethical Operations"/>
    <s v="Sekhar Chittala -"/>
    <n v="2024"/>
    <x v="57"/>
    <x v="6"/>
    <s v="survey/position"/>
    <s v="2.0"/>
    <s v="10.36948/ijfmr.2024.v06i05.28795"/>
    <s v="W4403657767"/>
    <n v="0"/>
    <n v="0"/>
    <s v="openalex"/>
  </r>
  <r>
    <s v="An architecture for model-based and intelligent automation in DevOps"/>
    <s v="Romina Eramo; Bilal Said; Marc Oriol; Hugo Brunelière; Sergio Morales"/>
    <n v="2024"/>
    <x v="58"/>
    <x v="6"/>
    <s v="systems/empirical"/>
    <s v="22.0"/>
    <s v="10.1016/j.jss.2024.112180"/>
    <s v="W4401270762"/>
    <n v="1"/>
    <n v="0"/>
    <s v="openalex"/>
  </r>
  <r>
    <s v="AnomalyLLM: Few-shot Anomaly Edge Detection for Dynamic Graphs using Large Language Models"/>
    <s v="Shuo Liu; Di Yao; Lanting Fang; Zhetao Li; Wenbin Li; Kaiyu Feng; XiaoWen Ji; Jingping Bi"/>
    <n v="2024"/>
    <x v="0"/>
    <x v="6"/>
    <s v="systems/empirical"/>
    <m/>
    <m/>
    <s v="2405.07626"/>
    <n v="0"/>
    <n v="0"/>
    <s v="arxiv"/>
  </r>
  <r>
    <s v="AutoCodeRover: Autonomous Program Improvement"/>
    <s v="Yuntong Zhang; Haifeng Ruan; Zhiyu Fan; Abhik Roychoudhury"/>
    <n v="2024"/>
    <x v="22"/>
    <x v="6"/>
    <s v="systems/empirical"/>
    <s v="141.0"/>
    <s v="10.1145/3650212.3680384"/>
    <s v="W4402442868"/>
    <n v="0"/>
    <n v="0"/>
    <s v="openalex"/>
  </r>
  <r>
    <s v="Cloud Intelligence and AIOps Integration: A Framework for Autonomous IT Operations in Modern Cloud Environments"/>
    <s v="Sushil Prabhu Prabhakaran -"/>
    <n v="2024"/>
    <x v="57"/>
    <x v="6"/>
    <s v="survey/position"/>
    <s v="2.0"/>
    <s v="10.36948/ijfmr.2024.v06i06.33643"/>
    <s v="W4405808253"/>
    <n v="0"/>
    <n v="0"/>
    <s v="openalex"/>
  </r>
  <r>
    <s v="ENCO: Life-Cycle Management of Enterprise-Grade Copilots"/>
    <s v="Yiwen Zhu; Mathieu Demarne; Kai Deng; Wenjing Wang; Nutan Sahoo; Divya Vermareddy; Hannah Lerner; Yunlei Lu"/>
    <n v="2024"/>
    <x v="0"/>
    <x v="6"/>
    <s v="systems/empirical"/>
    <m/>
    <s v="10.1145/3770854.3783949"/>
    <s v="2412.06099"/>
    <n v="0"/>
    <n v="0"/>
    <s v="arxiv"/>
  </r>
  <r>
    <s v="Enhancing Cluster Resilience: LLM-agent Based Autonomous Intelligent Cluster Diagnosis System and Evaluation Framework"/>
    <s v="Honghao Shi; Longkai Cheng; Wenli Wu; Yuhang Wang; Xuan Liu; Shaokai Nie; Weixv Wang; Xuebin Min"/>
    <n v="2024"/>
    <x v="0"/>
    <x v="6"/>
    <s v="systems/empirical"/>
    <m/>
    <m/>
    <s v="2411.05349"/>
    <n v="0"/>
    <n v="0"/>
    <s v="arxiv"/>
  </r>
  <r>
    <s v="Exploring LLM-based Agents for Root Cause Analysis"/>
    <s v="Devjeet Roy; Xuchao Zhang; Rashi Bhave; Chetan Bansal; Pedro Las-Casas; Rodrigo Fonseca; Saravan Rajmohan"/>
    <n v="2024"/>
    <x v="0"/>
    <x v="6"/>
    <s v="systems/empirical"/>
    <m/>
    <m/>
    <s v="2403.04123"/>
    <n v="0"/>
    <n v="0"/>
    <s v="arxiv"/>
  </r>
  <r>
    <s v="FAIL: Analyzing Software Failures from the News Using LLMs"/>
    <s v="Dharun Anandayuvaraj; Matthew Campbell; Arav Tewari; James C. Davis"/>
    <n v="2024"/>
    <x v="0"/>
    <x v="6"/>
    <s v="systems/empirical"/>
    <m/>
    <s v="10.1145/3691620.3695022"/>
    <s v="2406.08221"/>
    <n v="0"/>
    <n v="0"/>
    <s v="arxiv"/>
  </r>
  <r>
    <s v="GenKubeSec: LLM-Based Kubernetes Misconfiguration Detection, Localization, Reasoning, and Remediation"/>
    <s v="Ehud Malul; Yair Meidan; Dudu Mimran; Yuval Elovici; Asaf Shabtai"/>
    <n v="2024"/>
    <x v="0"/>
    <x v="6"/>
    <s v="systems/empirical"/>
    <m/>
    <m/>
    <s v="2405.19954"/>
    <n v="0"/>
    <n v="0"/>
    <s v="arxiv"/>
  </r>
  <r>
    <s v="The potential of LLM-generated reports in DevSecOps"/>
    <s v="Nikolaos Lykousas; Vasileios Argyropoulos; Fran Casino"/>
    <n v="2024"/>
    <x v="0"/>
    <x v="6"/>
    <s v="unscreened(rule-classified)"/>
    <m/>
    <s v="10.1007/978-3-031-98410-5_27"/>
    <s v="2410.01899"/>
    <n v="0"/>
    <n v="0"/>
    <s v="arxiv"/>
  </r>
  <r>
    <s v="Using LLMs as Incident Prevention Copilots in Cloud Infrastructure"/>
    <s v="Sai Prasad Veluru; Mohan Krishna Manchala"/>
    <n v="2024"/>
    <x v="59"/>
    <x v="6"/>
    <s v="unscreened(rule-classified)"/>
    <s v="5.0"/>
    <s v="10.63282/3050-9416.ijaibdcms-v5i4p106"/>
    <s v="W4411659426"/>
    <n v="0"/>
    <n v="0"/>
    <s v="openalex"/>
  </r>
  <r>
    <s v="X-lifecycle Learning for Cloud Incident Management using LLMs"/>
    <s v="Drishti Goel; Fiza Husain; Aditya Singh; Supriyo Ghosh; Anjaly Parayil; Chetan Bansal; Xuchao Zhang; Saravan Rajmohan"/>
    <n v="2024"/>
    <x v="0"/>
    <x v="6"/>
    <s v="unscreened(rule-classified)"/>
    <m/>
    <m/>
    <s v="2404.03662"/>
    <n v="0"/>
    <n v="0"/>
    <s v="arxiv"/>
  </r>
  <r>
    <s v="Xpert: Empowering Incident Management with Query Recommendations via Large Language Models"/>
    <s v="Yuxuan Jiang; Chaoyun Zhang; Shilin He; Z. Q. Yang; Minghua Ma; Si Qin; Yu Kang; Yingnong Dang; Saravan Rajmohan; Qingwei Lin; Dongmei Zhang"/>
    <n v="2024"/>
    <x v="22"/>
    <x v="6"/>
    <s v="unscreened(rule-classified)"/>
    <s v="36.0"/>
    <s v="10.1145/3597503.3639081"/>
    <s v="W4394745158"/>
    <n v="0"/>
    <n v="1"/>
    <s v="openalex"/>
  </r>
  <r>
    <s v="Automatic Root Cause Analysis via Large Language Models for Cloud Incidents"/>
    <s v="Yinfang Chen; Huaibing Xie; Minghua Ma; Yu Kang; Xin Gao; L. -B. Shi; Yunjie Cao; X. Y. Gao; Hao Fan; Ming Wen; Jun Zeng; Supriyo Ghosh; Xuchao Zhang; Zhang, Chaoyun; Qingwei Lin; Saravan Rajmohan; Dongmei Zhang; Xu, Tianyin"/>
    <n v="2023"/>
    <x v="12"/>
    <x v="6"/>
    <s v="systems/empirical"/>
    <s v="6.0"/>
    <s v="10.48550/arxiv.2305.15778"/>
    <s v="W4378499274"/>
    <n v="0"/>
    <n v="0"/>
    <s v="openalex"/>
  </r>
  <r>
    <s v="D-Bot: Database Diagnosis System using Large Language Models"/>
    <s v="Xuanhe Zhou; Guoliang Li; Zhaoyan Sun; Zhiyuan Liu; Weize Chen; Jianming Wu; Jiesi Liu; Ruohang Feng"/>
    <n v="2023"/>
    <x v="0"/>
    <x v="6"/>
    <s v="systems/empirical"/>
    <m/>
    <m/>
    <s v="2312.01454"/>
    <n v="0"/>
    <n v="0"/>
    <s v="arxiv"/>
  </r>
  <r>
    <s v="TARGET: Automated Scenario Generation from Traffic Rules for Testing Autonomous Vehicles via Validated LLM-Guided Knowledge Extraction"/>
    <s v="Yao Deng; Jiaohong Yao; Zhi Tu; Xi Zheng; Mengshi Zhang; Tianyi Zhang"/>
    <n v="2023"/>
    <x v="60"/>
    <x v="6"/>
    <s v="unscreened(rule-classified)"/>
    <m/>
    <s v="10.1109/tse.2025.3569086"/>
    <s v="2305.06018"/>
    <n v="0"/>
    <n v="0"/>
    <s v="arxiv"/>
  </r>
  <r>
    <s v="RCAgent: Cloud Root Cause Analysis by Autonomous Agents with Tool-Augmented Large Language Models"/>
    <s v="Zefan Wang; Zichuan Liu; Yingying Zhang; Aoxiao Zhong"/>
    <n v="2023"/>
    <x v="0"/>
    <x v="6"/>
    <s v="systems/empirical"/>
    <m/>
    <s v="10.1145/3627673.3680016"/>
    <s v="2310.16340"/>
    <n v="0"/>
    <n v="1"/>
    <s v="landmark"/>
  </r>
  <r>
    <s v="LogGPT: Exploring ChatGPT for Log-Based Anomaly Detection"/>
    <s v="Jiaxing Qi; Shaohan Huang; Zhongzhi Luan; Carol Fung"/>
    <n v="2023"/>
    <x v="0"/>
    <x v="6"/>
    <s v="systems/empirical"/>
    <m/>
    <m/>
    <s v="2309.01189"/>
    <n v="0"/>
    <n v="1"/>
    <s v="landmark"/>
  </r>
  <r>
    <s v="AutoTSG: Learning and Synthesis for Incident Troubleshooting"/>
    <s v="Manish Shetty; Chetan Bansal; Sai Pramod Upadhyayula; Arjun Radhakrishna; Anurag Gupta"/>
    <n v="2022"/>
    <x v="0"/>
    <x v="6"/>
    <s v="systems/empirical"/>
    <m/>
    <m/>
    <s v="2205.13457"/>
    <n v="0"/>
    <n v="0"/>
    <s v="arxiv"/>
  </r>
  <r>
    <s v="A Cascaded Graph Neural Network for Joint Root Cause Localization and Analysis in Edge Computing Environments"/>
    <s v="Duneesha Fernando; Maria A. Rodriguez; Rajkumar Buyya"/>
    <n v="2026"/>
    <x v="0"/>
    <x v="7"/>
    <s v="systems/empirical"/>
    <m/>
    <m/>
    <s v="2603.01447"/>
    <n v="0"/>
    <n v="0"/>
    <s v="arxiv"/>
  </r>
  <r>
    <s v="ARGUS: MCP-Grounded Root Cause Analysis for Kubernetes Incidents"/>
    <s v="Ergi Senja; Seyed Mohammad Reza Razavi Zadegan; Philipp Leitner"/>
    <n v="2026"/>
    <x v="0"/>
    <x v="7"/>
    <s v="systems/empirical"/>
    <m/>
    <m/>
    <s v="2608.23084"/>
    <n v="0"/>
    <n v="0"/>
    <s v="arxiv"/>
  </r>
  <r>
    <s v="ARMOR: A Robust Self-Supervised Framework for Root Cause Analysis in Microservices under Missing Modality"/>
    <s v="Wenzhuo Qian; Hailiang Zhao; Ziqi Wang; Zhipeng Gao; Jiayi Chen; Zhiwei Ling; Shuiguang Deng"/>
    <n v="2026"/>
    <x v="0"/>
    <x v="7"/>
    <s v="systems/empirical"/>
    <m/>
    <m/>
    <s v="2603.25538"/>
    <n v="0"/>
    <n v="0"/>
    <s v="arxiv"/>
  </r>
  <r>
    <s v="Auditable Graph-Guided Root Cause Analysis for Kubernetes Incidents"/>
    <s v="Anastasiia Kuvshinova; Seungmin Jin"/>
    <n v="2026"/>
    <x v="0"/>
    <x v="7"/>
    <s v="systems/empirical"/>
    <m/>
    <m/>
    <s v="2606.08590"/>
    <n v="0"/>
    <n v="0"/>
    <s v="arxiv"/>
  </r>
  <r>
    <s v="Beyond Microservices: Testing Web-Scale RCA Methods on GPU-Driven LLM Workloads"/>
    <s v="Dominik Scheinert; Alexander Acker; Thorsten Wittkopp; Soeren Becker; Hamza Yous; Karnakar Reddy; Ibrahim Farhat; Hakim Hacid"/>
    <n v="2026"/>
    <x v="0"/>
    <x v="7"/>
    <s v="systems/empirical"/>
    <m/>
    <m/>
    <s v="2603.02057"/>
    <n v="0"/>
    <n v="0"/>
    <s v="arxiv"/>
  </r>
  <r>
    <s v="Bridging Temporal and Textual Modalities: A Multimodal Framework for Automated Cloud Failure Root Cause Analysis"/>
    <s v="Gijun Park"/>
    <n v="2026"/>
    <x v="0"/>
    <x v="7"/>
    <s v="systems/empirical"/>
    <m/>
    <m/>
    <s v="2601.04709"/>
    <n v="0"/>
    <n v="0"/>
    <s v="arxiv"/>
  </r>
  <r>
    <s v="EvoCause: LLM-Guided Evolution of Causal Graphs for Root Cause Analysis"/>
    <s v="Lei Zan; Keli Zhang; Shifeng Xie; Jiale Zheng; Zehao Xiao; Zhiwei Dong; Ke Zhang; Ruichu Cai"/>
    <n v="2026"/>
    <x v="0"/>
    <x v="7"/>
    <s v="systems/empirical"/>
    <m/>
    <m/>
    <s v="2607.27290"/>
    <n v="0"/>
    <n v="0"/>
    <s v="arxiv"/>
  </r>
  <r>
    <s v="TeleCom-Bench: How Far Are Large Language Models from Industrial Telecommunication Applications?"/>
    <s v="Jieting Xiao; Yun Lin; Huizhen Qiu; Rui Ma; Chen Zhong; Dongyang Xu; Xiao Long; Chaoyu Zhang"/>
    <n v="2026"/>
    <x v="0"/>
    <x v="7"/>
    <s v="unscreened(rule-classified)"/>
    <m/>
    <m/>
    <s v="2605.18025"/>
    <n v="0"/>
    <n v="0"/>
    <s v="arxiv"/>
  </r>
  <r>
    <s v="The Autonomy Tax: Defense Training Breaks LLM Agents"/>
    <s v="Shawn Li; Yue Zhao"/>
    <n v="2026"/>
    <x v="0"/>
    <x v="7"/>
    <s v="unscreened(rule-classified)"/>
    <m/>
    <m/>
    <s v="2603.19423"/>
    <n v="0"/>
    <n v="0"/>
    <s v="arxiv"/>
  </r>
  <r>
    <s v="The Story Shapes the Agent: Narrative Priors in LLM Behavior"/>
    <s v="Yixuan Wang; James Lester; Shashank Srivastava"/>
    <n v="2026"/>
    <x v="0"/>
    <x v="7"/>
    <s v="unscreened(rule-classified)"/>
    <m/>
    <m/>
    <s v="2607.18566"/>
    <n v="0"/>
    <n v="0"/>
    <s v="arxiv"/>
  </r>
  <r>
    <s v="AI-driven anomaly detection and root cause analysis: Using machine learning on logs, metrics, and traces to detect subtle performance anomalies, security threats, or failures in complex cloud environments"/>
    <s v="Raviteja Guntupalli"/>
    <n v="2025"/>
    <x v="61"/>
    <x v="7"/>
    <s v="systems/empirical"/>
    <s v="4.0"/>
    <s v="10.30574/wjarr.2025.26.2.1521"/>
    <s v="W4410280982"/>
    <n v="0"/>
    <n v="0"/>
    <s v="openalex"/>
  </r>
  <r>
    <s v="COCA: Generative Root Cause Analysis for Distributed Systems with Code Knowledge"/>
    <s v="Yichen Li; Yulun Wu; Jinyang Liu; Zhihan Jiang; Zhuangbin Chen; Guangba Yu; Michael R. Lyu"/>
    <n v="2025"/>
    <x v="0"/>
    <x v="7"/>
    <s v="systems/empirical"/>
    <m/>
    <m/>
    <s v="2503.23051"/>
    <n v="0"/>
    <n v="0"/>
    <s v="arxiv"/>
  </r>
  <r>
    <s v="GALA: Can Graph-Augmented Large Language Model Agentic Workflows Elevate Root Cause Analysis?"/>
    <s v="Yifang Tian; Yaming Liu; Zichun Chong; Zihang Huang; Hans-Arno Jacobsen"/>
    <n v="2025"/>
    <x v="0"/>
    <x v="7"/>
    <s v="systems/empirical"/>
    <m/>
    <m/>
    <s v="2508.12472"/>
    <n v="0"/>
    <n v="0"/>
    <s v="arxiv"/>
  </r>
  <r>
    <s v="TrioXpert: An Automated Incident Management Framework for Microservice System"/>
    <s v="Yongqian Sun; Yu Luo; Xidao Wen; Yuan Yuan; Xiaohui Nie; Shenglin Zhang; Tong Liu; Xi Luo"/>
    <n v="2025"/>
    <x v="0"/>
    <x v="7"/>
    <s v="unscreened(rule-classified)"/>
    <m/>
    <m/>
    <s v="2506.10043"/>
    <n v="0"/>
    <n v="0"/>
    <s v="arxiv"/>
  </r>
  <r>
    <s v="Uncovering Vulnerabilities of LLM-Assisted Cyber Threat Intelligence"/>
    <s v="Yuqiao Meng; Luoxi Tang; Feiyang Yu; Jinyuan Jia; Guanhua Yan; Ping Yang; Zhaohan Xi"/>
    <n v="2025"/>
    <x v="0"/>
    <x v="7"/>
    <s v="unscreened(rule-classified)"/>
    <m/>
    <m/>
    <s v="2509.23573"/>
    <n v="0"/>
    <n v="0"/>
    <s v="arxiv"/>
  </r>
  <r>
    <s v="Surveying Root Cause Analysis Techniques: A Comprehensive Review of Aspects for Multi-Service Applications"/>
    <s v="Zhijing Li; Jianbo Yu; Zhijun Huang; Yusheng Huang"/>
    <n v="2025"/>
    <x v="36"/>
    <x v="7"/>
    <s v="unscreened(rule-classified)"/>
    <s v="0.0"/>
    <s v="10.1109/TSC.2025.3631913"/>
    <s v="W4416178230"/>
    <n v="1"/>
    <n v="0"/>
    <s v="openalex"/>
  </r>
  <r>
    <s v="Automated Root Cause Analysis System for Complex Data Products"/>
    <s v="Mathieu Demarne; Miso Cilimdzic; Tom Falkowski; Timothy Johnson; Jim Gramling; Wei Kuang; Hoobie Hou; Amjad Aryan"/>
    <n v="2024"/>
    <x v="0"/>
    <x v="7"/>
    <s v="systems/empirical"/>
    <m/>
    <m/>
    <s v="2412.15374"/>
    <n v="0"/>
    <n v="0"/>
    <s v="arxiv"/>
  </r>
  <r>
    <s v="Automated Root Causing of Cloud Incidents using In-Context Learning with GPT-4"/>
    <s v="Xuchao Zhang; Supriyo Ghosh; Chetan Bansal; Rujia Wang; Minghua Ma; Yu Kang; Saravan Rajmohan"/>
    <n v="2024"/>
    <x v="12"/>
    <x v="7"/>
    <s v="systems/empirical"/>
    <s v="1.0"/>
    <s v="10.48550/arxiv.2401.13810"/>
    <s v="W4391272169"/>
    <n v="0"/>
    <n v="0"/>
    <s v="openalex"/>
  </r>
  <r>
    <s v="Exploring Multi-Modal Data with Tool-Augmented LLM Agents for Precise Causal Discovery"/>
    <s v="ChengAo Shen; Zhengzhang Chen; Dongsheng Luo; Dongkuan Xu; Haifeng Chen; Jingchao Ni"/>
    <n v="2024"/>
    <x v="0"/>
    <x v="7"/>
    <s v="systems/empirical"/>
    <m/>
    <m/>
    <s v="2412.13667"/>
    <n v="0"/>
    <n v="0"/>
    <s v="arxiv"/>
  </r>
  <r>
    <s v="TVDiag: A Task-oriented and View-invariant Failure Diagnosis Framework with Multimodal Data"/>
    <s v="Shuaiyu Xie; Jian Wang; Hanbin He; Zhihao Wang; Yuqi Zhao; Neng Zhang; Bing Li"/>
    <n v="2024"/>
    <x v="0"/>
    <x v="7"/>
    <s v="unscreened(rule-classified)"/>
    <m/>
    <m/>
    <s v="2407.19711"/>
    <n v="0"/>
    <n v="0"/>
    <s v="arxiv"/>
  </r>
  <r>
    <s v="Distributed Tracing for Troubleshooting of Native Cloud Applications via Rule-Induction Systems"/>
    <s v="Arnak Poghosyan; Ashot Harutyunyan; Naira Grigoryan; Clement Chun Cheong Pang"/>
    <n v="2023"/>
    <x v="62"/>
    <x v="7"/>
    <s v="systems/empirical"/>
    <s v="6.0"/>
    <s v="10.3897/jucs.112513"/>
    <s v="W4388838946"/>
    <n v="0"/>
    <n v="0"/>
    <s v="openalex"/>
  </r>
  <r>
    <s v="Eadro: An End-to-End Troubleshooting Framework for Microservices on Multi-source Data"/>
    <s v="Cheryl Lee; Tianyi Yang; Zhuangbin Chen; Yuxin Su; Michael R. Lyu"/>
    <n v="2023"/>
    <x v="0"/>
    <x v="7"/>
    <s v="systems/empirical"/>
    <m/>
    <m/>
    <s v="2302.05092"/>
    <n v="0"/>
    <n v="0"/>
    <s v="arxiv"/>
  </r>
  <r>
    <s v="TraceDiag: Adaptive, Interpretable, and Efficient Root Cause Analysis on Large-Scale Microservice Systems"/>
    <s v="Ruomeng Ding; Chaoyun Zhang; Lu Wang; Yong Xu; Minghua Ma; Xiaomin Wu; Meng Zhang; Qingjun Chen; Xin Gao; X. Y. Gao; Hao Fan; Saravan Rajmohan; Qingwei Lin; Dongmei Zhang"/>
    <n v="2023"/>
    <x v="22"/>
    <x v="7"/>
    <s v="unscreened(rule-classified)"/>
    <s v="21.0"/>
    <s v="10.1145/3611643.3613864"/>
    <s v="W4389209173"/>
    <n v="0"/>
    <n v="0"/>
    <s v="openalex"/>
  </r>
  <r>
    <s v="Nezha: Interpretable Fine-Grained Root Causes Analysis for Microservices on Multi-modal Observability Data"/>
    <s v="Guangba Yu; Pengfei Chen; Yufeng Li; Hongyang Chen"/>
    <n v="2023"/>
    <x v="5"/>
    <x v="7"/>
    <s v="systems/empirical"/>
    <s v="117.0"/>
    <s v="10.1145/3611643.3616249"/>
    <m/>
    <n v="0"/>
    <n v="1"/>
    <s v="landmark"/>
  </r>
  <r>
    <s v="A big data-driven root cause analysis system: Application of Machine Learning in quality problem solving"/>
    <s v="Qiuping Ma; Hongyan Li; Anders Thorstenson"/>
    <n v="2021"/>
    <x v="63"/>
    <x v="7"/>
    <s v="systems/empirical"/>
    <s v="87.0"/>
    <s v="10.1016/j.cie.2021.107580"/>
    <s v="W3190028216"/>
    <n v="0"/>
    <n v="0"/>
    <s v="openalex"/>
  </r>
  <r>
    <s v="An Empirical Study on Root Cause Analysis and Prediction of Network Failure Using Deep Learning"/>
    <s v="Minhwan Choi; Tae-Young Kim; Jong pil Lee; Seounghyun Koh"/>
    <n v="2021"/>
    <x v="64"/>
    <x v="7"/>
    <s v="systems/empirical"/>
    <s v="7.0"/>
    <s v="10.1109/ictc52510.2021.9621097"/>
    <s v="W4200497638"/>
    <n v="0"/>
    <n v="0"/>
    <s v="openalex"/>
  </r>
  <r>
    <s v="Practical Root Cause Localization for Microservice Systems via Trace Analysis"/>
    <s v="Zeyan Li; Junjie Chen; Rui Jiao; Nengwen Zhao"/>
    <n v="2021"/>
    <x v="5"/>
    <x v="7"/>
    <s v="systems/empirical"/>
    <s v="136.0"/>
    <s v="10.1109/iwqos52092.2021.9521340"/>
    <m/>
    <n v="0"/>
    <n v="1"/>
    <s v="landmark"/>
  </r>
  <r>
    <s v="ADR: An Agentic Detection System for Enterprise Agentic AI Security"/>
    <s v="Chenning Li; Pan Hu; Justin Xu; Baris Ozbas; Olivia Liu; Caroline Van; Manxue Li; Wei Zhou"/>
    <n v="2026"/>
    <x v="0"/>
    <x v="8"/>
    <s v="systems/empirical"/>
    <m/>
    <m/>
    <s v="2605.17380"/>
    <n v="0"/>
    <n v="0"/>
    <s v="arxiv"/>
  </r>
  <r>
    <s v="Agentic Cloud Decoys: A Deception-Driven Framework for Autonomous Intrusion Investigation"/>
    <s v="Mohan Manivannan; Dalal Alharthi"/>
    <n v="2026"/>
    <x v="0"/>
    <x v="8"/>
    <s v="systems/empirical"/>
    <m/>
    <m/>
    <s v="2607.24006"/>
    <n v="0"/>
    <n v="0"/>
    <s v="arxiv"/>
  </r>
  <r>
    <s v="Agentra: A Supervisable Multi-Agent Framework for Enterprise Intrusion Response"/>
    <s v="Raj Patel; Shaswata Mitra; Michele Guida; Stefano Iannucci; Sudip Mittal; Shahram Rahimi"/>
    <n v="2026"/>
    <x v="0"/>
    <x v="8"/>
    <s v="systems/empirical"/>
    <m/>
    <m/>
    <s v="2606.18325"/>
    <n v="0"/>
    <n v="0"/>
    <s v="arxiv"/>
  </r>
  <r>
    <s v="AI-Driven Security Alert Screening and Alert Fatigue Mitigation in Security Operations Centers: A Survey"/>
    <s v="Samuel Ndichu; Tao Ban; Seiichi Ozawa; Takeshi Takahashi; Daisuke Inoue"/>
    <n v="2026"/>
    <x v="0"/>
    <x v="8"/>
    <s v="survey/position"/>
    <m/>
    <m/>
    <s v="2605.08316"/>
    <n v="0"/>
    <n v="0"/>
    <s v="arxiv"/>
  </r>
  <r>
    <s v="AlertBERT: A noise-robust alert grouping framework for simultaneous cyber attacks"/>
    <s v="Lukas Karner; Max Landauer; Markus Wurzenberger; Florian Skopik"/>
    <n v="2026"/>
    <x v="0"/>
    <x v="8"/>
    <s v="systems/empirical"/>
    <m/>
    <m/>
    <s v="2602.06534"/>
    <n v="0"/>
    <n v="0"/>
    <s v="arxiv"/>
  </r>
  <r>
    <s v="An Organization-Scoped LLM Agent Runtime Architecture for Regulated Cybersecurity Operations"/>
    <s v="George Fatouros; Georgios Makridis; George Kousiouris; John Soldatos; Dimosthenis Kyriazis"/>
    <n v="2026"/>
    <x v="0"/>
    <x v="8"/>
    <s v="systems/empirical"/>
    <m/>
    <m/>
    <s v="2605.30604"/>
    <n v="0"/>
    <n v="0"/>
    <s v="arxiv"/>
  </r>
  <r>
    <s v="API Security Based on Automatic OpenAPI Mapping"/>
    <s v="Yarin Levi; Ran Dubin"/>
    <n v="2026"/>
    <x v="0"/>
    <x v="8"/>
    <s v="systems/empirical"/>
    <m/>
    <m/>
    <s v="2604.19471"/>
    <n v="0"/>
    <n v="0"/>
    <s v="arxiv"/>
  </r>
  <r>
    <s v="A Survey of Agentic AI and Cybersecurity: Challenges, Opportunities and Use-case Prototypes"/>
    <s v="Sahaya Jestus Lazer; Kshitiz Aryal; Maanak Gupta; Elisa Bertino"/>
    <n v="2026"/>
    <x v="0"/>
    <x v="8"/>
    <s v="survey/position"/>
    <m/>
    <m/>
    <s v="2601.05293"/>
    <n v="0"/>
    <n v="0"/>
    <s v="arxiv"/>
  </r>
  <r>
    <s v="Automated SBOM-Driven Vulnerability Triage for IoT Firmware: A Lightweight Pipeline for Risk Prioritization"/>
    <s v="Abdurrahman Tolay"/>
    <n v="2026"/>
    <x v="0"/>
    <x v="8"/>
    <s v="systems/empirical"/>
    <m/>
    <m/>
    <s v="2601.01308"/>
    <n v="0"/>
    <n v="0"/>
    <s v="arxiv"/>
  </r>
  <r>
    <s v="Cross-Layer Semantic Flow Reconstruction for Attack Detection in Agentic Systems"/>
    <s v="Qizhi Cai; Yangyang Wei; Zhipeng Chen; Shouling Ji; Zhenyuan Li"/>
    <n v="2026"/>
    <x v="0"/>
    <x v="8"/>
    <s v="systems/empirical"/>
    <m/>
    <m/>
    <s v="2603.04469"/>
    <n v="0"/>
    <n v="0"/>
    <s v="arxiv"/>
  </r>
  <r>
    <s v="CUSTOS: Toward Forensic-Ready Zero Trust at the Capture-Containment Boundary"/>
    <s v="Avinash Srinivasan; John Paramadilok"/>
    <n v="2026"/>
    <x v="0"/>
    <x v="8"/>
    <s v="systems/empirical"/>
    <m/>
    <m/>
    <s v="2608.17068"/>
    <n v="0"/>
    <n v="0"/>
    <s v="arxiv"/>
  </r>
  <r>
    <s v="CyberAId: AI-Driven Cybersecurity for Financial Service Providers"/>
    <s v="George Fatouros; Georgios Makridis; John Soldatos; Dimosthenis Kyriazis; Pedro Malo; George Kousiouris; Giannis Ledakis; Louiza Kachrimani"/>
    <n v="2026"/>
    <x v="0"/>
    <x v="8"/>
    <s v="survey/position"/>
    <m/>
    <m/>
    <s v="2605.01892"/>
    <n v="0"/>
    <n v="0"/>
    <s v="arxiv"/>
  </r>
  <r>
    <s v="Design Principles for the Construction of a Benchmark Evaluating Security Operation Capabilities of Multi-agent AI Systems"/>
    <s v="Yicheng Cai; Mitchell John DeStefano; Guodong Dong; Pulkit Handa; Peng Liu; Tejas Singhal; Peiyu Tseng; Winston Jen White"/>
    <n v="2026"/>
    <x v="0"/>
    <x v="8"/>
    <s v="survey/position"/>
    <m/>
    <m/>
    <s v="2603.28998"/>
    <n v="0"/>
    <n v="0"/>
    <s v="arxiv"/>
  </r>
  <r>
    <s v="From Noise to Signal: Improving Security Log Anomaly Detection Using LLMs with Endpoint-Specific Logs"/>
    <s v="Christopher Henshaw; Gour Karmakar"/>
    <n v="2026"/>
    <x v="0"/>
    <x v="8"/>
    <s v="systems/empirical"/>
    <m/>
    <m/>
    <s v="2608.19938"/>
    <n v="0"/>
    <n v="0"/>
    <s v="arxiv"/>
  </r>
  <r>
    <s v="Toward Secure LLM Agents: Threat Surfaces, Attacks, Defenses, and Evaluation"/>
    <s v="Yuchen Ling; Shengcheng Yu; Zhenyu Chen; Chunrong Fang"/>
    <n v="2026"/>
    <x v="0"/>
    <x v="8"/>
    <s v="unscreened(rule-classified)"/>
    <m/>
    <m/>
    <s v="2606.10749"/>
    <n v="0"/>
    <n v="0"/>
    <s v="arxiv"/>
  </r>
  <r>
    <s v="Watermarking LLM Agent Trajectories"/>
    <s v="Wenlong Meng; Chen Gong; Terry Yue Zhuo; Fan Zhang; Kecen Li; Zheng Liu; Zhou Yang; Chengkun Wei"/>
    <n v="2026"/>
    <x v="0"/>
    <x v="8"/>
    <s v="unscreened(rule-classified)"/>
    <m/>
    <m/>
    <s v="2602.18700"/>
    <n v="0"/>
    <n v="0"/>
    <s v="arxiv"/>
  </r>
  <r>
    <s v="A cybersecurity AI agent selection and decision support framework"/>
    <s v="Masike Malatji"/>
    <n v="2025"/>
    <x v="0"/>
    <x v="8"/>
    <s v="survey/position"/>
    <m/>
    <m/>
    <s v="2510.01751"/>
    <n v="0"/>
    <n v="0"/>
    <s v="arxiv"/>
  </r>
  <r>
    <s v="Advancing Cyber Incident Timeline Analysis Through Retrieval-Augmented Generation and Large Language Models"/>
    <s v="Fatma Yasmine Loumachi; Mohamed Chahine Ghanem; Mohamed Amine Ferrag"/>
    <n v="2025"/>
    <x v="49"/>
    <x v="8"/>
    <s v="systems/empirical"/>
    <s v="27.0"/>
    <s v="10.3390/computers14020067"/>
    <s v="W4407509125"/>
    <n v="0"/>
    <n v="0"/>
    <s v="openalex"/>
  </r>
  <r>
    <s v="AgenticCyber: A GenAI-Powered Multi-Agent System for Multimodal Threat Detection and Adaptive Response in Cybersecurity"/>
    <s v="Shovan Roy"/>
    <n v="2025"/>
    <x v="0"/>
    <x v="8"/>
    <s v="systems/empirical"/>
    <m/>
    <m/>
    <s v="2512.06396"/>
    <n v="0"/>
    <n v="0"/>
    <s v="arxiv"/>
  </r>
  <r>
    <s v="AI-Augmented SOC: A Survey of LLMs and Agents for Security Automation"/>
    <s v="S. Srinivas; Brandon Kirk; Julissa Zendejas; Michael Espino; Matthew Boskovich; Abdul Bari; Khalil Dajani; Nabeel Alzahrani"/>
    <n v="2025"/>
    <x v="65"/>
    <x v="8"/>
    <s v="survey/position"/>
    <s v="24.0"/>
    <s v="10.3390/jcp5040095"/>
    <s v="W4415932290"/>
    <n v="0"/>
    <n v="0"/>
    <s v="openalex"/>
  </r>
  <r>
    <s v="A Multi-Agent System for Cybersecurity Threat Detection and Correlation Using Large Language Models"/>
    <s v="Yasser Hmimou; Mohamed Tabaa; Azeddine Khiat; Zineb Hidila"/>
    <n v="2025"/>
    <x v="1"/>
    <x v="8"/>
    <s v="systems/empirical"/>
    <s v="15.0"/>
    <s v="10.1109/ACCESS.2025.3602681"/>
    <s v="W4413556821"/>
    <n v="1"/>
    <n v="0"/>
    <s v="openalex"/>
  </r>
  <r>
    <s v="Analysing the role of LLMs in cybersecurity incident management"/>
    <s v="G. H. Gethin Jones; Dimitrios Kasimatis; Nikolaos Pitropakis; Richard Macfarlane; William J. Buchanan"/>
    <n v="2025"/>
    <x v="66"/>
    <x v="8"/>
    <s v="systems/empirical"/>
    <s v="2.0"/>
    <s v="10.1007/s10207-025-01144-7"/>
    <s v="W4415688741"/>
    <n v="1"/>
    <n v="0"/>
    <s v="openalex"/>
  </r>
  <r>
    <s v="A Practical Honeypot-Based Threat Intelligence Framework for Cyber Defence in the Cloud"/>
    <s v="Darren Malvern Chin; Bilal Isfaq; Simon Yusuf Enoch"/>
    <n v="2025"/>
    <x v="0"/>
    <x v="8"/>
    <s v="systems/empirical"/>
    <m/>
    <m/>
    <s v="2512.05321"/>
    <n v="0"/>
    <n v="0"/>
    <s v="arxiv"/>
  </r>
  <r>
    <s v="A Review of Agentic AI in Cybersecurity: Cognitive Autonomy, Ethical Governance, and Quantum-Resilient Defense"/>
    <s v="IBRAHIM ADABARA; Bashir Olaniyi Sadiq; Aliyu Nuhu Shuaibu; Yale Ibrahim Danjuma; Maninti Venkateswarlu"/>
    <n v="2025"/>
    <x v="52"/>
    <x v="8"/>
    <s v="survey/position"/>
    <s v="13.0"/>
    <s v="10.12688/f1000research.169337.1"/>
    <s v="W4413880655"/>
    <n v="1"/>
    <n v="0"/>
    <s v="openalex"/>
  </r>
  <r>
    <s v="Automated Alert Classification and Triage (AACT): An Intelligent System for the Prioritisation of Cybersecurity Alerts"/>
    <s v="Melissa Turcotte; François Labrèche; Serge-Olivier Paquette"/>
    <n v="2025"/>
    <x v="0"/>
    <x v="8"/>
    <s v="systems/empirical"/>
    <m/>
    <m/>
    <s v="2505.09843"/>
    <n v="0"/>
    <n v="0"/>
    <s v="arxiv"/>
  </r>
  <r>
    <s v="Autonomous AI-based Cybersecurity Framework for Critical Infrastructure: Real-Time Threat Mitigation"/>
    <s v="Jenifer Paulraj; Brindha Raghuraman; Nagarani Gopalakrishnan; Yazan Otoum"/>
    <n v="2025"/>
    <x v="0"/>
    <x v="8"/>
    <s v="survey/position"/>
    <m/>
    <s v="10.1109/snpd65828.2025.11254587"/>
    <s v="2507.07416"/>
    <n v="0"/>
    <n v="0"/>
    <s v="arxiv"/>
  </r>
  <r>
    <s v="Autonomous Security Operations Centers (SOC): AI Agents for Threat Triage, Response, and Orchestration"/>
    <s v="Anitha Mareedu"/>
    <n v="2025"/>
    <x v="67"/>
    <x v="8"/>
    <s v="systems/empirical"/>
    <s v="6.0"/>
    <s v="10.63282/3050-922x.ijeret-v6i2p108"/>
    <s v="W4412042534"/>
    <n v="0"/>
    <n v="0"/>
    <s v="openalex"/>
  </r>
  <r>
    <s v="Benchmarking LLM-Assisted Blue Teaming via Standardized Threat Hunting"/>
    <s v="Yuqiao Meng; Luoxi Tang; Feiyang Yu; Xi Li; Guanhua Yan; Ping Yang; Zhaohan Xi"/>
    <n v="2025"/>
    <x v="0"/>
    <x v="8"/>
    <s v="systems/empirical"/>
    <m/>
    <m/>
    <s v="2509.23571"/>
    <n v="0"/>
    <n v="0"/>
    <s v="arxiv"/>
  </r>
  <r>
    <s v="Benchmarking LLMs in an Embodied Environment for Blue Team Threat Hunting"/>
    <s v="Xiaoqun Liu; Feiyang Yu; Xi Li; Guanhua Yan; Ping Yang; Zhaohan Xi"/>
    <n v="2025"/>
    <x v="0"/>
    <x v="8"/>
    <s v="systems/empirical"/>
    <m/>
    <m/>
    <s v="2505.11901"/>
    <n v="0"/>
    <n v="0"/>
    <s v="arxiv"/>
  </r>
  <r>
    <s v="CORTEX: Collaborative LLM Agents for High-Stakes Alert Triage"/>
    <s v="Bowen Wei; Yuan Shen Tay; Howard Liu; Jinhao Pan; Kun Luo; Ziwei Zhu; Chris Jordan"/>
    <n v="2025"/>
    <x v="0"/>
    <x v="8"/>
    <s v="systems/empirical"/>
    <m/>
    <m/>
    <s v="2510.00311"/>
    <n v="0"/>
    <n v="0"/>
    <s v="arxiv"/>
  </r>
  <r>
    <s v="Cyber Resilience in Next-Generation Networks: Threat Landscape, Theoretical Foundations, and Design Paradigms"/>
    <s v="Junaid Farooq; Quanyan Zhu"/>
    <n v="2025"/>
    <x v="0"/>
    <x v="8"/>
    <s v="survey/position"/>
    <m/>
    <m/>
    <s v="2512.22721"/>
    <n v="0"/>
    <n v="0"/>
    <s v="arxiv"/>
  </r>
  <r>
    <s v="Cybersecurity AI in OT: Insights from an AI Top-10 Ranker in the Dragos OT CTF 2025"/>
    <s v="Víctor Mayoral-Vilches; Luis Javier Navarrete-Lozano; Francesco Balassone; María Sanz-Gómez; Cristóbal Ricardo Veas Chávez; Maite del Mundo de Torres"/>
    <n v="2025"/>
    <x v="0"/>
    <x v="8"/>
    <s v="systems/empirical"/>
    <m/>
    <m/>
    <s v="2511.05119"/>
    <n v="0"/>
    <n v="0"/>
    <s v="arxiv"/>
  </r>
  <r>
    <s v="Enhancing Security Operations Center: Wazuh Security Event Response with Retrieval-Augmented-Generation-Driven Copilot"/>
    <s v="Ismail Ismail; Rahmat Kurnia; Farid Widyatama; Ilham Mirwansyah Wibawa; Zilmas Arjuna Brata; Ukasyah; Ghitha Afina Nelistiani; Howon Kim"/>
    <n v="2025"/>
    <x v="28"/>
    <x v="8"/>
    <s v="systems/empirical"/>
    <s v="11.0"/>
    <s v="10.3390/s25030870"/>
    <s v="W4407006955"/>
    <n v="0"/>
    <n v="0"/>
    <s v="openalex"/>
  </r>
  <r>
    <s v="From Legacy to Standard: LLM-Assisted Transformation of Cybersecurity Playbooks into CACAO Format"/>
    <s v="Mehdi Akbari Gurabi; Lasse Nitz; Radu-Mihai Castravet; Roman Matzutt; Avikarsha Mandal; Stefan Decker"/>
    <n v="2025"/>
    <x v="0"/>
    <x v="8"/>
    <s v="systems/empirical"/>
    <m/>
    <m/>
    <s v="2508.03342"/>
    <n v="0"/>
    <n v="0"/>
    <s v="arxiv"/>
  </r>
  <r>
    <s v="From Vulnerability to Defense: The Role of Large Language Models in Enhancing Cybersecurity"/>
    <s v="Wafaa Kasri; Yassine Himeur; Hamzah Ali Alkhazaleh; Saed Tarapiah; Shadi Atalla; Wathiq Mansoor; Hussain Al-Ahmad"/>
    <n v="2025"/>
    <x v="68"/>
    <x v="8"/>
    <s v="survey/position"/>
    <s v="57.0"/>
    <s v="10.3390/computation13020030"/>
    <s v="W4406928793"/>
    <n v="0"/>
    <n v="0"/>
    <s v="openalex"/>
  </r>
  <r>
    <s v="Generative AI revolution in cybersecurity: a comprehensive review of threat intelligence and operations"/>
    <s v="Mueen Uddin; Muhammad Irshad; Irfan Ali Kandhro; Fuhid Alanazi; Fahad Ahmed; Muhammad Maaz; Saddam Hussain; Syed Sajid Ullah"/>
    <n v="2025"/>
    <x v="69"/>
    <x v="8"/>
    <s v="survey/position"/>
    <s v="28.0"/>
    <s v="10.1007/s10462-025-11219-5"/>
    <s v="W4410140821"/>
    <n v="0"/>
    <n v="0"/>
    <s v="openalex"/>
  </r>
  <r>
    <s v="Transforming cybersecurity with agentic AI to combat emerging cyber threats"/>
    <s v="Nir Kshetri"/>
    <n v="2025"/>
    <x v="70"/>
    <x v="8"/>
    <s v="unscreened(rule-classified)"/>
    <s v="51.0"/>
    <s v="10.1016/j.telpol.2025.102976"/>
    <s v="W4409676367"/>
    <n v="1"/>
    <n v="0"/>
    <s v="openalex"/>
  </r>
  <r>
    <s v="Where LLM Agents Fail and How They can Learn From Failures"/>
    <s v="Kunlun Zhu; Zijia Liu; Bingxuan Li; Muxin Tian; Yingxuan Yang; Jiaxun Zhang; Pengrui Han; Qipeng Xie"/>
    <n v="2025"/>
    <x v="0"/>
    <x v="8"/>
    <s v="unscreened(rule-classified)"/>
    <m/>
    <m/>
    <s v="2509.25370"/>
    <n v="0"/>
    <n v="0"/>
    <s v="arxiv"/>
  </r>
  <r>
    <s v="Agentic AI and the Cyber Arms Race"/>
    <s v="Sean Oesch; Jack Hutchins; Phillipe Austria; Amul Chaulagain"/>
    <n v="2025"/>
    <x v="71"/>
    <x v="8"/>
    <s v="unscreened(rule-classified)"/>
    <s v="7.0"/>
    <s v="10.1109/MC.2025.3544116"/>
    <s v="W4409581061"/>
    <n v="1"/>
    <n v="0"/>
    <s v="openalex"/>
  </r>
  <r>
    <s v="A Research Landscape of Agentic AI and Large Language Models: Applications, Challenges and Future Directions"/>
    <s v="Sarfraz Nawaz Brohi; Qurat-ul-ain Mastoi; N. Z. Jhanjhi; Thulasyammal Ramiah Pillai"/>
    <n v="2025"/>
    <x v="72"/>
    <x v="8"/>
    <s v="unscreened(rule-classified)"/>
    <s v="44.0"/>
    <s v="10.3390/a18080499"/>
    <s v="W4413222071"/>
    <n v="1"/>
    <n v="0"/>
    <s v="openalex"/>
  </r>
  <r>
    <s v="The Rise of Agentic AI: A Review of Definitions, Frameworks, Architectures, Applications, Evaluation Metrics, and Challenges"/>
    <s v="Ajay Bandi; Bhavani Kongari; Roshini Naguru; Sahitya Pasnoor; Sri Vidya Vilipala"/>
    <n v="2025"/>
    <x v="73"/>
    <x v="8"/>
    <s v="unscreened(rule-classified)"/>
    <s v="126.0"/>
    <s v="10.3390/fi17090404"/>
    <s v="W4414023998"/>
    <n v="1"/>
    <n v="0"/>
    <s v="openalex"/>
  </r>
  <r>
    <s v="A Comprehensive Overview of Large Language Models (LLMs) for Cyber Defences: Opportunities and Directions"/>
    <s v="Mohammed Hassanin; Nour Moustafa"/>
    <n v="2024"/>
    <x v="12"/>
    <x v="8"/>
    <s v="survey/position"/>
    <s v="22.0"/>
    <s v="10.48550/arxiv.2405.14487"/>
    <s v="W4398811296"/>
    <n v="0"/>
    <n v="0"/>
    <s v="openalex"/>
  </r>
  <r>
    <s v="Application of Large Language Models in Cybersecurity: A Systematic Literature Review"/>
    <s v="Ismayil Hasanov; Seppo Virtanen; Antti Hakkala; Jouni Isoaho"/>
    <n v="2024"/>
    <x v="1"/>
    <x v="8"/>
    <s v="survey/position"/>
    <s v="76.0"/>
    <s v="10.1109/access.2024.3505983"/>
    <s v="W4404688214"/>
    <n v="0"/>
    <n v="0"/>
    <s v="openalex"/>
  </r>
  <r>
    <s v="Employing LLMs for Incident Response Planning and Review"/>
    <s v="Sam Hays; Jules White"/>
    <n v="2024"/>
    <x v="0"/>
    <x v="8"/>
    <s v="survey/position"/>
    <m/>
    <m/>
    <s v="2403.01271"/>
    <n v="0"/>
    <n v="0"/>
    <s v="arxiv"/>
  </r>
  <r>
    <s v="GenDFIR: Advancing Cyber Incident Timeline Analysis Through Retrieval Augmented Generation and Large Language Models"/>
    <s v="Fatma Yasmine Loumachi; Mohamed Chahine Ghanem; Mohamed Amine Ferrag"/>
    <n v="2024"/>
    <x v="0"/>
    <x v="8"/>
    <s v="systems/empirical"/>
    <m/>
    <s v="10.3390/computers14020067"/>
    <s v="2409.02572"/>
    <n v="0"/>
    <n v="0"/>
    <s v="arxiv"/>
  </r>
  <r>
    <s v="Generative AI and Security Operations Center Productivity: Evidence from Live Operations"/>
    <s v="James Bono; Justin Grana; Alec Xu"/>
    <n v="2024"/>
    <x v="0"/>
    <x v="8"/>
    <s v="systems/empirical"/>
    <m/>
    <m/>
    <s v="2411.03116"/>
    <n v="0"/>
    <n v="0"/>
    <s v="arxiv"/>
  </r>
  <r>
    <s v="Understanding the Weakness of Large Language Model Agents within a Complex Android Environment"/>
    <s v="Mingzhe Xing; Rongkai Zhang; Hui Xue; Qi Chen; Fan Yang; Zhen Xiao"/>
    <n v="2024"/>
    <x v="0"/>
    <x v="8"/>
    <s v="unscreened(rule-classified)"/>
    <m/>
    <m/>
    <s v="2402.06596"/>
    <n v="0"/>
    <n v="0"/>
    <s v="arxiv"/>
  </r>
  <r>
    <s v="Enhancing Autonomous System Security and Resilience With Generative AI: A Comprehensive Survey"/>
    <s v="Martin Andreoni Lopez; Willian T. Lunardi; George Lawton; Shreekant Thakkar"/>
    <n v="2024"/>
    <x v="1"/>
    <x v="8"/>
    <s v="unscreened(rule-classified)"/>
    <s v="92.0"/>
    <s v="10.1109/ACCESS.2024.3439363"/>
    <s v="W4401357555"/>
    <n v="1"/>
    <n v="0"/>
    <s v="openalex"/>
  </r>
  <r>
    <s v="Enhancing Cloud Security—Proactive Threat Monitoring and Detection Using a SIEM-Based Approach"/>
    <s v="Emmanuel Tuyishime; Titus Bălan; Petru Adrian Cotfas; Daniel Tudor Cotfas; Alexandre Rekeraho"/>
    <n v="2023"/>
    <x v="7"/>
    <x v="8"/>
    <s v="systems/empirical"/>
    <s v="32.0"/>
    <s v="10.3390/app132212359"/>
    <s v="W4388694085"/>
    <n v="0"/>
    <n v="0"/>
    <s v="openalex"/>
  </r>
  <r>
    <s v="The SRE Playbook: Multi-Cloud Observability, Security, and Automation"/>
    <s v="Vijay Kartik Sikha"/>
    <n v="2023"/>
    <x v="74"/>
    <x v="8"/>
    <s v="unscreened(rule-classified)"/>
    <s v="9.0"/>
    <s v="10.47363/jaicc/2023(2)e136"/>
    <s v="W4402095265"/>
    <n v="0"/>
    <n v="0"/>
    <s v="openalex"/>
  </r>
  <r>
    <s v="Zero Touch Management: A Survey of Network Automation Solutions for 5G and 6G Networks"/>
    <s v="Estefanía Coronado; Rasoul Behravesh; Tejas Subramanya; Adriana Fernández–Fernández; Muhammad Shuaib Siddiqui; Xavier Costa‐Pérez; Roberto Riggio"/>
    <n v="2022"/>
    <x v="75"/>
    <x v="8"/>
    <s v="unscreened(rule-classified)"/>
    <s v="176.0"/>
    <s v="10.1109/comst.2022.3212586"/>
    <s v="W4312924812"/>
    <n v="0"/>
    <n v="0"/>
    <s v="openalex"/>
  </r>
  <r>
    <s v="Benchmarking of Machine Learning for Anomaly Based Intrusion Detection Systems in the CICIDS2017 Dataset"/>
    <s v="Ziadoon Kamil Maseer; Robiah Yusof; Nazrulazhar Bahaman; Salama A. Mostafa; Cik Feresa Mohd Foozy"/>
    <n v="2021"/>
    <x v="1"/>
    <x v="8"/>
    <s v="systems/empirical"/>
    <s v="456.0"/>
    <s v="10.1109/access.2021.3056614"/>
    <s v="W3126814579"/>
    <n v="0"/>
    <n v="0"/>
    <s v="openalex"/>
  </r>
  <r>
    <s v="Features Dimensionality Reduction Approaches for Machine Learning Based Network Intrusion Detection"/>
    <s v="Razan Abdulhammed; Hassan Musafer; Ali Alessa; Miad Faezipour; Abdelshakour Abuzneid"/>
    <n v="2019"/>
    <x v="18"/>
    <x v="8"/>
    <s v="systems/empirical"/>
    <s v="325.0"/>
    <s v="10.3390/electronics8030322"/>
    <s v="W2921708219"/>
    <n v="0"/>
    <n v="0"/>
    <s v="openalex"/>
  </r>
  <r>
    <s v="Autonomic Intrusion Response in Distributed Computing using Big Data"/>
    <s v="Kleber Vieira; Fernando Koch; Joao Bosco Mangueira Sobral; Carlos Becker Westphall; Jorge Lopes de Souza Leao"/>
    <n v="2018"/>
    <x v="0"/>
    <x v="8"/>
    <s v="systems/empirical"/>
    <m/>
    <m/>
    <s v="1811.05407"/>
    <n v="0"/>
    <n v="0"/>
    <s v="arxiv"/>
  </r>
  <r>
    <s v="An Entropy-Based Network Anomaly Detection Method"/>
    <s v="Przemysław Bereziński; Bartosz Jasiul; Marcin Szpyrka"/>
    <n v="2015"/>
    <x v="76"/>
    <x v="8"/>
    <s v="systems/empirical"/>
    <s v="202.0"/>
    <s v="10.3390/e17042367"/>
    <s v="W2141910941"/>
    <n v="0"/>
    <n v="0"/>
    <s v="openalex"/>
  </r>
  <r>
    <s v="A Comparative Study of Semantic Log Representations for Software Log-based Anomaly Detection"/>
    <s v="Yuqing Wang; Ying Song; Xiaozhou Li; Nana Reinikainen; Mika V. Mäntylä"/>
    <n v="2026"/>
    <x v="0"/>
    <x v="9"/>
    <s v="systems/empirical"/>
    <m/>
    <m/>
    <s v="2604.08028"/>
    <n v="0"/>
    <n v="0"/>
    <s v="arxiv"/>
  </r>
  <r>
    <s v="Artificial intelligence driven multi agent framework for adaptive cyber attack simulation and automated incident response in cyber range environments"/>
    <s v="Alka Agrawal; Mohd Nadeem; Ahmed Al Nuaim; Abdullah Al Nuaim"/>
    <n v="2026"/>
    <x v="77"/>
    <x v="9"/>
    <s v="unscreened(no label)"/>
    <s v="1.0"/>
    <s v="10.1038/s41598-026-45937-9"/>
    <s v="W7151470152"/>
    <n v="1"/>
    <n v="0"/>
    <s v="openalex"/>
  </r>
  <r>
    <s v="A Tutorial on Autonomous Fault-Tolerant Control Using Knowledge-Grounded LLM Agents"/>
    <s v="Javal Vyas; Milapji Singh Gill; Artan Markaj; Felix Gehlhoff; Mehmet Mercangöz"/>
    <n v="2026"/>
    <x v="0"/>
    <x v="9"/>
    <s v="systems/empirical"/>
    <m/>
    <m/>
    <s v="2606.31635"/>
    <n v="0"/>
    <n v="0"/>
    <s v="arxiv"/>
  </r>
  <r>
    <s v="Bian Que: An Agentic Framework with Flexible Skill Arrangement for Online System Operations"/>
    <s v="Bochao Liu; Zhipeng Qian; Yang Zhao; Xinyuan Jiang; Zihan Liang; Yufei Ma; Junpeng Zhuang; Ben Chen"/>
    <n v="2026"/>
    <x v="0"/>
    <x v="9"/>
    <s v="systems/empirical"/>
    <m/>
    <m/>
    <s v="2604.26805"/>
    <n v="0"/>
    <n v="0"/>
    <s v="arxiv"/>
  </r>
  <r>
    <s v="Bio-inspired Agentic Self-healing Framework for Resilient Distributed Computing Continuum Systems"/>
    <s v="Alaa Saleh; Praveen Kumar Donta; Roberto Morabito; Sasu Tarkoma; Anders Lindgren; Qiyang Zhang; Schahram Dustdar; Susanna Pirttikangas"/>
    <n v="2026"/>
    <x v="0"/>
    <x v="9"/>
    <s v="systems/empirical"/>
    <m/>
    <m/>
    <s v="2601.00339"/>
    <n v="0"/>
    <n v="0"/>
    <s v="arxiv"/>
  </r>
  <r>
    <s v="Context Graphs for Proactive Enterprise Agents"/>
    <s v="Avinash Kumar"/>
    <n v="2026"/>
    <x v="0"/>
    <x v="9"/>
    <s v="systems/empirical"/>
    <m/>
    <m/>
    <s v="2607.07721"/>
    <n v="0"/>
    <n v="0"/>
    <s v="arxiv"/>
  </r>
  <r>
    <s v="DP-FlogTinyLLM: Differentially private federated log anomaly detection using Tiny LLMs"/>
    <s v="Isaiah Thompson; Tanmay Sen; Ritwik Bhattacharya"/>
    <n v="2026"/>
    <x v="0"/>
    <x v="9"/>
    <s v="systems/empirical"/>
    <m/>
    <m/>
    <s v="2604.19118"/>
    <n v="0"/>
    <n v="0"/>
    <s v="arxiv"/>
  </r>
  <r>
    <s v="Empirical Study on Automation, AI Trust, and Framework Readiness in Cybersecurity Incident Response"/>
    <s v="Olufunsho I. Falowo; Jacques Bou Abdo"/>
    <n v="2026"/>
    <x v="72"/>
    <x v="9"/>
    <s v="unscreened(no label)"/>
    <s v="5.0"/>
    <s v="10.3390/a19010062"/>
    <s v="W7122817681"/>
    <n v="1"/>
    <n v="0"/>
    <s v="openalex"/>
  </r>
  <r>
    <s v="GALA: Graph-Augmented LLM Agents for Root Cause Analysis and Incident Response in Microservices"/>
    <s v="Yifang Tian; Yaming Liu; Zichun Chong; Zihang Huang; Yiran Li; Hans-Arno Jacobsen"/>
    <n v="2026"/>
    <x v="0"/>
    <x v="9"/>
    <s v="systems/empirical"/>
    <m/>
    <m/>
    <s v="2608.08968"/>
    <n v="0"/>
    <n v="0"/>
    <s v="arxiv"/>
  </r>
  <r>
    <s v="GALR: Graph-Based Root Cause Localization and LLM-Assisted Recovery for Microservice Systems"/>
    <s v="Wenya Zhang; Zhi Yang; Fang Peng; Le Zhang; Y. Chen; Ruibo Chen"/>
    <n v="2026"/>
    <x v="18"/>
    <x v="9"/>
    <s v="unscreened(no label)"/>
    <s v="1.0"/>
    <s v="10.3390/electronics15010243"/>
    <s v="W7118166844"/>
    <n v="1"/>
    <n v="0"/>
    <s v="openalex"/>
  </r>
  <r>
    <s v="Graph-Augmented Multi-Agent Robust Root Cause Analysis in AIOps"/>
    <s v="Haodong Zou; Yichen Zhao; Xin Chen; Ling Wang; Jinghang Yu; Long Yuan"/>
    <n v="2026"/>
    <x v="78"/>
    <x v="9"/>
    <s v="unscreened(no label)"/>
    <s v="0.0"/>
    <s v="10.32604/cmc.2026.077908"/>
    <s v="W7148801630"/>
    <n v="1"/>
    <n v="0"/>
    <s v="openalex"/>
  </r>
  <r>
    <s v="Reliability of LLM Inference Engines from a Static Perspective: Root Cause Analysis and Repair Suggestion via Natural Language Reports"/>
    <s v="Hongwei Li; Yongjun Wang"/>
    <n v="2026"/>
    <x v="79"/>
    <x v="9"/>
    <s v="unscreened(no label)"/>
    <s v="0.0"/>
    <s v="10.3390/bdcc10020060"/>
    <s v="W7128793024"/>
    <n v="1"/>
    <n v="0"/>
    <s v="openalex"/>
  </r>
  <r>
    <s v="Advancing Autonomous Incident Response: Leveraging LLMs and Cyber Threat Intelligence"/>
    <s v="Amine Tellache; Abdelaziz Amara Korba; Amdjed Mokhtari; Horea Moldovan; Yacine Ghamri-Doudane"/>
    <n v="2025"/>
    <x v="0"/>
    <x v="9"/>
    <s v="systems/empirical"/>
    <m/>
    <m/>
    <s v="2508.10677"/>
    <n v="0"/>
    <n v="0"/>
    <s v="arxiv"/>
  </r>
  <r>
    <s v="AgentFM: Role-Aware Failure Management for Distributed Databases with LLM-Driven Multi-Agents"/>
    <s v="Lingzhe Zhang; Yunpeng Zhai; Tong Jia; Xiaosong Huang; Chiming Duan; Ying Li"/>
    <n v="2025"/>
    <x v="22"/>
    <x v="9"/>
    <s v="systems/empirical"/>
    <s v="9.0"/>
    <s v="10.1145/3696630.3728492"/>
    <s v="W4412703894"/>
    <n v="0"/>
    <n v="0"/>
    <s v="openalex"/>
  </r>
  <r>
    <s v="Agentic AI for Cloud Troubleshooting: A Review of Multi Agent System for Automated Cloud Support"/>
    <s v="Kinjal A. Patel; Eshan Pandey; Inshu Misra; Deepti Surve"/>
    <n v="2025"/>
    <x v="22"/>
    <x v="9"/>
    <s v="survey/position"/>
    <s v="6.0"/>
    <s v="10.1109/icict64420.2025.11005005"/>
    <s v="W4410639863"/>
    <n v="0"/>
    <n v="0"/>
    <s v="openalex"/>
  </r>
  <r>
    <s v="AIOps for Reliability: Evaluating Large Language Models for Automated Root Cause Analysis in Chaos Engineering"/>
    <s v="Tomasz Szandała"/>
    <n v="2025"/>
    <x v="80"/>
    <x v="9"/>
    <s v="systems/empirical"/>
    <s v="4.0"/>
    <s v="10.1007/978-3-031-97564-6_25"/>
    <s v="W4412055343"/>
    <n v="0"/>
    <n v="0"/>
    <s v="openalex"/>
  </r>
  <r>
    <s v="ARM: Autonomous Remediation and Management With LLM Agents for Intent-Driven Control"/>
    <s v="Vasilis Avgerinos; Kostas Ramantas; Luis Alonso; Christos Verikoukis"/>
    <n v="2025"/>
    <x v="81"/>
    <x v="9"/>
    <s v="systems/empirical"/>
    <s v="1.0"/>
    <s v="10.1109/JIOT.2025.3648858"/>
    <s v="W7117292294"/>
    <n v="1"/>
    <n v="0"/>
    <s v="openalex"/>
  </r>
  <r>
    <s v="A Survey of AIOps in the Era of Large Language Models"/>
    <s v="Lingzhe Zhang; Tong Jia; Mengxi Jia; Yifan Wu; Aiwei Liu; Yong Yang; Zhonghai Wu; Xuming Hu; Philip S. Yu; Ying Li"/>
    <n v="2025"/>
    <x v="25"/>
    <x v="9"/>
    <s v="unscreened(no label)"/>
    <s v="36.0"/>
    <s v="10.1145/3746635"/>
    <s v="W4411735779"/>
    <n v="1"/>
    <n v="0"/>
    <s v="openalex"/>
  </r>
  <r>
    <s v="A Survey on AgentOps: Categorization, Challenges, and Future Directions"/>
    <s v="Zexin Wang; Jingjing Li; Quan Zhou; Haotian Si; Yuanhao Liu; Jianhui Li; Gaogang Xie; Fei Sun"/>
    <n v="2025"/>
    <x v="0"/>
    <x v="9"/>
    <s v="survey/position"/>
    <m/>
    <m/>
    <s v="2508.02121"/>
    <n v="0"/>
    <n v="0"/>
    <s v="arxiv"/>
  </r>
  <r>
    <s v="Autonomic Microservice Management via Agentic AI and MAPE-K Integration"/>
    <s v="Matteo Esposito; Alexander Bakhtin; Noman Ahmad; Mikel Robredo; Ruoyu Su; Valentina Lenarduzzi; Davide Taibi"/>
    <n v="2025"/>
    <x v="0"/>
    <x v="9"/>
    <s v="systems/empirical"/>
    <m/>
    <m/>
    <s v="2506.22185"/>
    <n v="0"/>
    <n v="0"/>
    <s v="arxiv"/>
  </r>
  <r>
    <s v="Empowering AIOps: Leveraging Large Language Models for IT Operations Management"/>
    <s v="Arthur Vitui; Tse-Hsun Chen"/>
    <n v="2025"/>
    <x v="0"/>
    <x v="9"/>
    <s v="survey/position"/>
    <m/>
    <m/>
    <s v="2501.12461"/>
    <n v="0"/>
    <n v="0"/>
    <s v="arxiv"/>
  </r>
  <r>
    <s v="FVDebug: An LLM-Driven Debugging Assistant for Automated Root Cause Analysis of Formal Verification Failures"/>
    <s v="Yunsheng Bai; Ghaith Bany Hamad; Chia-Tung Ho; Syed Suhaib; Haoxing Ren"/>
    <n v="2025"/>
    <x v="0"/>
    <x v="9"/>
    <s v="systems/empirical"/>
    <m/>
    <m/>
    <s v="2510.15906"/>
    <n v="0"/>
    <n v="0"/>
    <s v="arxiv"/>
  </r>
  <r>
    <s v="LEMAD: LLM-Empowered Multi-Agent System for Anomaly Detection in Power Grid Services"/>
    <s v="Xin Ji; Le Zhang; Wenya Zhang; Fang Peng; Yifan Mao; Xingchuang Liao; Kui Zhang"/>
    <n v="2025"/>
    <x v="18"/>
    <x v="9"/>
    <s v="unscreened(no label)"/>
    <s v="11.0"/>
    <s v="10.3390/electronics14153008"/>
    <s v="W4412904032"/>
    <n v="1"/>
    <n v="0"/>
    <s v="openalex"/>
  </r>
  <r>
    <s v="Leveraging multi-agent framework for root cause analysis"/>
    <s v="Feng Fu; Ding Hong; Yong Qin; Jian Yu; Dongchao XU"/>
    <n v="2025"/>
    <x v="82"/>
    <x v="9"/>
    <s v="unscreened(no label)"/>
    <s v="4.0"/>
    <s v="10.1007/s40747-025-02096-0"/>
    <s v="W4415944773"/>
    <n v="1"/>
    <n v="0"/>
    <s v="openalex"/>
  </r>
  <r>
    <s v="LLM Agentic Workflow for Automated Vulnerability Detection and Remediation in Infrastructure-as-Code"/>
    <s v="Dheer Toprani; Vijay K. Madisetti"/>
    <n v="2025"/>
    <x v="1"/>
    <x v="9"/>
    <s v="unscreened(no label)"/>
    <s v="17.0"/>
    <s v="10.1109/ACCESS.2025.3560911"/>
    <s v="W4409473841"/>
    <n v="1"/>
    <n v="0"/>
    <s v="openalex"/>
  </r>
  <r>
    <s v="Anomaly Detection for Incident Response at Scale"/>
    <s v="Hanzhang Wang; Gowtham Kumar Tangirala; Gilkara Pranav Naidu; Charles Mayville; Arighna Roy; Joanne Sun; Ramesh Babu Mandava"/>
    <n v="2024"/>
    <x v="0"/>
    <x v="9"/>
    <s v="systems/empirical"/>
    <m/>
    <m/>
    <s v="2404.16887"/>
    <n v="0"/>
    <n v="0"/>
    <s v="arxiv"/>
  </r>
  <r>
    <s v="Anomaly Detection in Internet of Things Based on Logs Using Machine Learning and Deep Learning Techniques"/>
    <s v="Huy‐Trung Nguyen; Viet Quoc Nguyen"/>
    <n v="2023"/>
    <x v="22"/>
    <x v="9"/>
    <s v="systems/empirical"/>
    <s v="6.0"/>
    <s v="10.1145/3603781.3604223"/>
    <s v="W4385299056"/>
    <n v="0"/>
    <n v="0"/>
    <s v="openalex"/>
  </r>
  <r>
    <s v="A review of SolarWinds attack on Orion platform using persistent threat agents and techniques for gaining unauthorized access"/>
    <s v="Antigoni Kruti; Usman Butt; Rejwan Bin Sulaiman"/>
    <n v="2023"/>
    <x v="0"/>
    <x v="9"/>
    <s v="survey/position"/>
    <m/>
    <m/>
    <s v="2308.10294"/>
    <n v="0"/>
    <n v="0"/>
    <s v="arxiv"/>
  </r>
  <r>
    <s v="A Study on Deep Learning Frameworks to Understand the Real Time Fault Detection and Diagnosis in IT Operations with AIOPs"/>
    <s v="Latha Narayanan Valli; N. Sujatha; E. Joice Rathinam"/>
    <n v="2023"/>
    <x v="22"/>
    <x v="9"/>
    <s v="systems/empirical"/>
    <s v="2.0"/>
    <s v="10.1109/easct59475.2023.10392382"/>
    <s v="W4391093587"/>
    <n v="0"/>
    <n v="0"/>
    <s v="openalex"/>
  </r>
  <r>
    <s v="Data Silos - A Roadblock for AIOps"/>
    <s v="Subhadip Kumar"/>
    <n v="2023"/>
    <x v="12"/>
    <x v="9"/>
    <s v="survey/position"/>
    <s v="1.0"/>
    <s v="10.48550/arxiv.2312.10039"/>
    <s v="W4389981664"/>
    <n v="0"/>
    <n v="0"/>
    <s v="openalex"/>
  </r>
  <r>
    <s v="Agent Transparency, Situation Awareness, Mental Workload, and Operator Performance: A Systematic Literature Review"/>
    <s v="Koen van de Merwe; Steven Mallam; Salman Nazir"/>
    <n v="2022"/>
    <x v="11"/>
    <x v="9"/>
    <s v="survey/position"/>
    <s v="155.0"/>
    <s v="10.1177/00187208221077804"/>
    <s v="W4220952823"/>
    <n v="0"/>
    <n v="0"/>
    <s v="openalex"/>
  </r>
  <r>
    <s v="Anomaly Detection of System Logs Based on Natural Language Processing and Deep Learning"/>
    <s v="Mengying Wang; Lele Xu; Lili Guo"/>
    <n v="2018"/>
    <x v="22"/>
    <x v="9"/>
    <s v="systems/empirical"/>
    <s v="42.0"/>
    <s v="10.1109/icfsp.2018.8552075"/>
    <s v="W2903478803"/>
    <n v="0"/>
    <n v="0"/>
    <s v="openalex"/>
  </r>
  <r>
    <s v="Detecting Anomaly in Big Data System Logs Using Convolutional Neural Network"/>
    <s v="Siyang Lu; Xiang Wei; Yandong Li; Liqiang Wang"/>
    <n v="2018"/>
    <x v="22"/>
    <x v="9"/>
    <s v="systems/empirical"/>
    <s v="217.0"/>
    <s v="10.1109/dasc/picom/datacom/cyberscitec.2018.00037"/>
    <s v="W2898998129"/>
    <n v="0"/>
    <n v="0"/>
    <s v="openalex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D3F484-2FA7-C444-9EDA-2D0C4F564E0B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B14" firstHeaderRow="1" firstDataRow="1" firstDataCol="1" rowPageCount="1" colPageCount="1"/>
  <pivotFields count="12">
    <pivotField dataField="1" showAll="0"/>
    <pivotField showAll="0"/>
    <pivotField showAll="0"/>
    <pivotField axis="axisPage" multipleItemSelectionAllowed="1" showAll="0" sortType="descending">
      <items count="84">
        <item h="1" x="64"/>
        <item x="25"/>
        <item x="4"/>
        <item x="72"/>
        <item x="7"/>
        <item x="54"/>
        <item x="69"/>
        <item h="1" x="0"/>
        <item h="1" x="12"/>
        <item x="15"/>
        <item h="1" x="44"/>
        <item x="79"/>
        <item x="9"/>
        <item x="82"/>
        <item x="68"/>
        <item x="27"/>
        <item x="29"/>
        <item x="71"/>
        <item x="49"/>
        <item x="63"/>
        <item x="78"/>
        <item h="1" x="22"/>
        <item x="18"/>
        <item x="8"/>
        <item x="76"/>
        <item x="3"/>
        <item x="52"/>
        <item x="16"/>
        <item x="37"/>
        <item x="73"/>
        <item x="11"/>
        <item x="1"/>
        <item x="75"/>
        <item x="81"/>
        <item x="6"/>
        <item x="34"/>
        <item x="17"/>
        <item x="13"/>
        <item x="38"/>
        <item x="39"/>
        <item x="36"/>
        <item x="60"/>
        <item x="10"/>
        <item x="2"/>
        <item x="47"/>
        <item h="1" x="57"/>
        <item h="1" x="50"/>
        <item h="1" x="59"/>
        <item h="1" x="33"/>
        <item h="1" x="67"/>
        <item h="1" x="66"/>
        <item h="1" x="48"/>
        <item h="1" x="45"/>
        <item h="1" x="55"/>
        <item h="1" x="56"/>
        <item x="74"/>
        <item x="51"/>
        <item x="65"/>
        <item x="40"/>
        <item x="31"/>
        <item x="46"/>
        <item x="21"/>
        <item x="43"/>
        <item x="58"/>
        <item x="62"/>
        <item x="80"/>
        <item x="24"/>
        <item x="26"/>
        <item x="30"/>
        <item x="20"/>
        <item x="35"/>
        <item x="53"/>
        <item x="41"/>
        <item x="19"/>
        <item x="77"/>
        <item x="23"/>
        <item x="28"/>
        <item x="14"/>
        <item x="70"/>
        <item x="32"/>
        <item x="61"/>
        <item x="42"/>
        <item h="1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h="1"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3" hier="-1"/>
  </pageFields>
  <dataFields count="1">
    <dataField name="Count of title" fld="0" subtotal="count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583048-E294-1548-9279-099A87E2D0DC}" name="Table1" displayName="Table1" ref="A3:L116" totalsRowShown="0">
  <autoFilter ref="A3:L116" xr:uid="{EE583048-E294-1548-9279-099A87E2D0DC}"/>
  <tableColumns count="12">
    <tableColumn id="1" xr3:uid="{B9209685-1E0B-F44E-B606-5A7D4A18A383}" name="title"/>
    <tableColumn id="2" xr3:uid="{E3E47E1F-FC5E-1C43-9D92-D1E09A9A232F}" name="authors"/>
    <tableColumn id="3" xr3:uid="{0C517E0E-9E41-4245-9A88-64293C2E23BF}" name="year"/>
    <tableColumn id="4" xr3:uid="{124E3063-CE5D-D443-9530-8529A5142935}" name="venue"/>
    <tableColumn id="5" xr3:uid="{75794889-CF06-EB4A-99A4-3E284B53F951}" name="cluster"/>
    <tableColumn id="6" xr3:uid="{F246A035-A3EE-AC47-8DDC-A13D01E11616}" name="paper_type"/>
    <tableColumn id="7" xr3:uid="{BB20E82B-BB2E-E145-92A2-6FD00BA37F13}" name="citations"/>
    <tableColumn id="8" xr3:uid="{0EC2A8BB-D164-7C40-B86E-D5C4B31A86D1}" name="doi"/>
    <tableColumn id="9" xr3:uid="{13C4B4B7-0C6D-1C40-9A84-F4048DCD4DC7}" name="arxiv_or_openalex_id"/>
    <tableColumn id="10" xr3:uid="{56CA3505-7F77-AE44-BD0F-759C332647B0}" name="in_your_seed_set"/>
    <tableColumn id="11" xr3:uid="{331512FF-6A9F-114B-A374-A69446582C9C}" name="is_landmark"/>
    <tableColumn id="12" xr3:uid="{FB70731A-442F-9147-B9FA-8A2CEBD6CDE8}" name="src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3D6EC6E-6019-0548-8A93-81B5D0A447DC}" name="Table2" displayName="Table2" ref="A3:L104" totalsRowShown="0">
  <autoFilter ref="A3:L104" xr:uid="{B3D6EC6E-6019-0548-8A93-81B5D0A447DC}">
    <filterColumn colId="2">
      <filters>
        <filter val="2020"/>
        <filter val="2021"/>
        <filter val="2022"/>
        <filter val="2023"/>
        <filter val="2024"/>
        <filter val="2025"/>
        <filter val="2026"/>
      </filters>
    </filterColumn>
  </autoFilter>
  <sortState xmlns:xlrd2="http://schemas.microsoft.com/office/spreadsheetml/2017/richdata2" ref="A4:L104">
    <sortCondition descending="1" ref="G3:G104"/>
  </sortState>
  <tableColumns count="12">
    <tableColumn id="1" xr3:uid="{7FD58CE0-CDD2-5945-A9A4-B9C553F9A0AC}" name="title"/>
    <tableColumn id="2" xr3:uid="{B6FDE875-112E-C548-9967-20602E08FE0C}" name="authors"/>
    <tableColumn id="3" xr3:uid="{2CD097C2-8AD2-FA46-BA48-EA267014B5D0}" name="year"/>
    <tableColumn id="4" xr3:uid="{8CBBF23A-7D37-9141-AA52-CC3E86E4F52A}" name="venue"/>
    <tableColumn id="5" xr3:uid="{197CAA73-6580-9A4B-A7E0-E620D7FB8010}" name="cluster"/>
    <tableColumn id="6" xr3:uid="{24F69345-146D-7544-95D8-D3D847847B98}" name="paper_type"/>
    <tableColumn id="7" xr3:uid="{31F46366-CA03-ED48-8E34-F23B5346187A}" name="citations"/>
    <tableColumn id="8" xr3:uid="{4720849F-8A31-E94B-A597-9240566BB977}" name="doi"/>
    <tableColumn id="9" xr3:uid="{FF967260-22EF-464B-BDE8-01B9F53C07E5}" name="arxiv_or_openalex_id"/>
    <tableColumn id="10" xr3:uid="{46062A9D-B8E9-F543-84F9-DC0924F96939}" name="in_your_seed_set"/>
    <tableColumn id="11" xr3:uid="{743472D9-A417-4040-B680-A69706BC224E}" name="is_landmark"/>
    <tableColumn id="12" xr3:uid="{1A6E091D-01F8-2141-AF85-8068C0FAF7B5}" name="src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4B55A-D78C-AC4E-8019-146B1B8EE3A7}">
  <dimension ref="A1:Z94"/>
  <sheetViews>
    <sheetView topLeftCell="A84" workbookViewId="0">
      <selection activeCell="D53" sqref="D53"/>
    </sheetView>
  </sheetViews>
  <sheetFormatPr baseColWidth="10" defaultColWidth="84.6640625" defaultRowHeight="13" x14ac:dyDescent="0.15"/>
  <cols>
    <col min="3" max="3" width="5.1640625" bestFit="1" customWidth="1"/>
    <col min="4" max="4" width="63.1640625" bestFit="1" customWidth="1"/>
    <col min="5" max="5" width="20.1640625" bestFit="1" customWidth="1"/>
    <col min="6" max="6" width="21" bestFit="1" customWidth="1"/>
    <col min="7" max="7" width="7.33203125" bestFit="1" customWidth="1"/>
    <col min="8" max="8" width="28.33203125" bestFit="1" customWidth="1"/>
    <col min="9" max="9" width="39.6640625" customWidth="1"/>
    <col min="10" max="10" width="10.33203125" bestFit="1" customWidth="1"/>
    <col min="11" max="11" width="11.5" bestFit="1" customWidth="1"/>
    <col min="13" max="13" width="4.33203125" bestFit="1" customWidth="1"/>
    <col min="15" max="15" width="61.1640625" bestFit="1" customWidth="1"/>
    <col min="16" max="16" width="28.33203125" bestFit="1" customWidth="1"/>
    <col min="17" max="17" width="16.6640625" bestFit="1" customWidth="1"/>
    <col min="18" max="18" width="16" bestFit="1" customWidth="1"/>
    <col min="19" max="19" width="11.5" bestFit="1" customWidth="1"/>
    <col min="20" max="20" width="11.83203125" bestFit="1" customWidth="1"/>
    <col min="21" max="21" width="5.1640625" bestFit="1" customWidth="1"/>
    <col min="22" max="22" width="16.5" bestFit="1" customWidth="1"/>
    <col min="23" max="23" width="15.5" bestFit="1" customWidth="1"/>
    <col min="24" max="24" width="14.6640625" bestFit="1" customWidth="1"/>
    <col min="25" max="25" width="20.6640625" bestFit="1" customWidth="1"/>
    <col min="26" max="26" width="4.33203125" bestFit="1" customWidth="1"/>
  </cols>
  <sheetData>
    <row r="1" spans="1:26" ht="28" x14ac:dyDescent="0.1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1398</v>
      </c>
      <c r="J1" t="s">
        <v>1399</v>
      </c>
      <c r="K1" t="s">
        <v>1400</v>
      </c>
      <c r="M1" s="24" t="s">
        <v>1393</v>
      </c>
      <c r="N1" s="24" t="s">
        <v>1394</v>
      </c>
      <c r="O1" s="24" t="s">
        <v>1395</v>
      </c>
      <c r="P1" s="24" t="s">
        <v>1396</v>
      </c>
      <c r="Q1" s="24" t="s">
        <v>1397</v>
      </c>
      <c r="R1" s="24" t="s">
        <v>1398</v>
      </c>
      <c r="S1" s="24" t="s">
        <v>1399</v>
      </c>
      <c r="T1" s="24" t="s">
        <v>1400</v>
      </c>
      <c r="U1" s="24" t="s">
        <v>1401</v>
      </c>
      <c r="V1" s="24" t="s">
        <v>1402</v>
      </c>
      <c r="W1" s="24" t="s">
        <v>1403</v>
      </c>
      <c r="X1" s="24" t="s">
        <v>1404</v>
      </c>
      <c r="Y1" s="24" t="s">
        <v>1405</v>
      </c>
      <c r="Z1" s="24" t="s">
        <v>1393</v>
      </c>
    </row>
    <row r="2" spans="1:26" ht="42" x14ac:dyDescent="0.15">
      <c r="A2" t="s">
        <v>1176</v>
      </c>
      <c r="B2" t="s">
        <v>1177</v>
      </c>
      <c r="C2">
        <v>2025</v>
      </c>
      <c r="D2" t="s">
        <v>1178</v>
      </c>
      <c r="E2" t="s">
        <v>1053</v>
      </c>
      <c r="F2" t="s">
        <v>32</v>
      </c>
      <c r="G2">
        <v>51</v>
      </c>
      <c r="H2" t="s">
        <v>1180</v>
      </c>
      <c r="I2" t="str">
        <f>VLOOKUP($D2,Scopus!$A$2:$K$49,3,FALSE)</f>
        <v>97.0%
14/541
Communication</v>
      </c>
      <c r="J2" t="str">
        <f>VLOOKUP($D2,Scopus!$A$2:$K$49,10,FALSE)</f>
        <v>Q1</v>
      </c>
      <c r="K2" t="str">
        <f>VLOOKUP($D2,Scopus!$A$2:$K$49,11,FALSE)</f>
        <v>0308-5961</v>
      </c>
      <c r="L2" t="e">
        <f>VLOOKUP(H2,$M$1:$Z$40,14,FALSE)</f>
        <v>#N/A</v>
      </c>
      <c r="M2" s="24" t="s">
        <v>1406</v>
      </c>
      <c r="N2" s="25" t="s">
        <v>1407</v>
      </c>
      <c r="O2" s="25" t="s">
        <v>831</v>
      </c>
      <c r="P2" s="25" t="s">
        <v>833</v>
      </c>
      <c r="Q2" s="25" t="s">
        <v>1408</v>
      </c>
      <c r="R2" s="26">
        <v>0.77</v>
      </c>
      <c r="S2" s="25" t="s">
        <v>1409</v>
      </c>
      <c r="T2" s="25" t="s">
        <v>1410</v>
      </c>
      <c r="U2" s="25">
        <v>2025</v>
      </c>
      <c r="V2" s="25">
        <v>19</v>
      </c>
      <c r="W2" s="25">
        <v>21</v>
      </c>
      <c r="X2" s="25" t="s">
        <v>1411</v>
      </c>
      <c r="Y2" s="27">
        <v>46230</v>
      </c>
      <c r="Z2" s="24" t="s">
        <v>1406</v>
      </c>
    </row>
    <row r="3" spans="1:26" ht="42" x14ac:dyDescent="0.15">
      <c r="A3" t="s">
        <v>381</v>
      </c>
      <c r="B3" t="s">
        <v>382</v>
      </c>
      <c r="C3">
        <v>2024</v>
      </c>
      <c r="D3" t="s">
        <v>383</v>
      </c>
      <c r="E3" t="s">
        <v>321</v>
      </c>
      <c r="F3" t="s">
        <v>17</v>
      </c>
      <c r="G3">
        <v>506</v>
      </c>
      <c r="H3" t="s">
        <v>385</v>
      </c>
      <c r="I3" t="str">
        <f>VLOOKUP($D3,Scopus!$A$2:$K$49,3,FALSE)</f>
        <v>99.0%
1/241
General Computer Science</v>
      </c>
      <c r="J3" t="str">
        <f>VLOOKUP($D3,Scopus!$A$2:$K$49,10,FALSE)</f>
        <v>Q1</v>
      </c>
      <c r="K3" t="str">
        <f>VLOOKUP($D3,Scopus!$A$2:$K$49,11,FALSE)</f>
        <v>0360-0300</v>
      </c>
      <c r="L3" t="e">
        <f t="shared" ref="L3:L66" si="0">VLOOKUP(H3,$M$1:$Z$40,14,FALSE)</f>
        <v>#N/A</v>
      </c>
      <c r="M3" s="24" t="s">
        <v>1412</v>
      </c>
      <c r="N3" s="25" t="s">
        <v>853</v>
      </c>
      <c r="O3" s="25" t="s">
        <v>855</v>
      </c>
      <c r="P3" s="25" t="s">
        <v>857</v>
      </c>
      <c r="Q3" s="25" t="s">
        <v>1413</v>
      </c>
      <c r="R3" s="26">
        <v>0.88</v>
      </c>
      <c r="S3" s="25" t="s">
        <v>1409</v>
      </c>
      <c r="T3" s="25" t="s">
        <v>1414</v>
      </c>
      <c r="U3" s="25">
        <v>2025</v>
      </c>
      <c r="V3" s="25">
        <v>180</v>
      </c>
      <c r="W3" s="25">
        <v>190</v>
      </c>
      <c r="X3" s="25">
        <v>175</v>
      </c>
      <c r="Y3" s="27">
        <v>46230</v>
      </c>
      <c r="Z3" s="24" t="s">
        <v>1412</v>
      </c>
    </row>
    <row r="4" spans="1:26" ht="42" x14ac:dyDescent="0.15">
      <c r="A4" t="s">
        <v>48</v>
      </c>
      <c r="B4" t="s">
        <v>49</v>
      </c>
      <c r="C4">
        <v>2025</v>
      </c>
      <c r="D4" t="s">
        <v>50</v>
      </c>
      <c r="E4" t="s">
        <v>16</v>
      </c>
      <c r="F4" t="s">
        <v>32</v>
      </c>
      <c r="G4">
        <v>59</v>
      </c>
      <c r="H4" t="s">
        <v>52</v>
      </c>
      <c r="I4" t="str">
        <f>VLOOKUP($D4,Scopus!$A$2:$K$49,3,FALSE)</f>
        <v>97.0%
10/351
General Engineering</v>
      </c>
      <c r="J4" t="str">
        <f>VLOOKUP($D4,Scopus!$A$2:$K$49,10,FALSE)</f>
        <v>Q1</v>
      </c>
      <c r="K4" t="str">
        <f>VLOOKUP($D4,Scopus!$A$2:$K$49,11,FALSE)</f>
        <v>0957-4174</v>
      </c>
      <c r="L4" t="e">
        <f t="shared" si="0"/>
        <v>#N/A</v>
      </c>
      <c r="M4" s="24" t="s">
        <v>1415</v>
      </c>
      <c r="N4" s="25" t="s">
        <v>1416</v>
      </c>
      <c r="O4" s="25" t="s">
        <v>1192</v>
      </c>
      <c r="P4" s="25" t="s">
        <v>1194</v>
      </c>
      <c r="Q4" s="25" t="s">
        <v>1408</v>
      </c>
      <c r="R4" s="26">
        <v>0.78</v>
      </c>
      <c r="S4" s="25" t="s">
        <v>1417</v>
      </c>
      <c r="T4" s="25" t="s">
        <v>1418</v>
      </c>
      <c r="U4" s="25">
        <v>2025</v>
      </c>
      <c r="V4" s="25">
        <v>38</v>
      </c>
      <c r="W4" s="25">
        <v>45</v>
      </c>
      <c r="X4" s="25">
        <v>39</v>
      </c>
      <c r="Y4" s="27">
        <v>46230</v>
      </c>
      <c r="Z4" s="24" t="s">
        <v>1415</v>
      </c>
    </row>
    <row r="5" spans="1:26" ht="42" x14ac:dyDescent="0.15">
      <c r="A5" t="s">
        <v>54</v>
      </c>
      <c r="B5" t="s">
        <v>55</v>
      </c>
      <c r="C5">
        <v>2025</v>
      </c>
      <c r="D5" t="s">
        <v>56</v>
      </c>
      <c r="E5" t="s">
        <v>16</v>
      </c>
      <c r="F5" t="s">
        <v>32</v>
      </c>
      <c r="G5">
        <v>177</v>
      </c>
      <c r="H5" t="s">
        <v>58</v>
      </c>
      <c r="I5" t="str">
        <f>VLOOKUP($D5,Scopus!$A$2:$K$49,3,FALSE)</f>
        <v>89.0%
53/503
Software</v>
      </c>
      <c r="J5" t="str">
        <f>VLOOKUP($D5,Scopus!$A$2:$K$49,10,FALSE)</f>
        <v>Q1</v>
      </c>
      <c r="K5" t="str">
        <f>VLOOKUP($D5,Scopus!$A$2:$K$49,11,FALSE)</f>
        <v>1049-331X</v>
      </c>
      <c r="L5" t="e">
        <f t="shared" si="0"/>
        <v>#N/A</v>
      </c>
      <c r="M5" s="24" t="s">
        <v>1419</v>
      </c>
      <c r="N5" s="25" t="s">
        <v>1420</v>
      </c>
      <c r="O5" s="25" t="s">
        <v>1421</v>
      </c>
      <c r="P5" s="25" t="s">
        <v>58</v>
      </c>
      <c r="Q5" s="25" t="s">
        <v>1408</v>
      </c>
      <c r="R5" s="26">
        <v>0.82</v>
      </c>
      <c r="S5" s="25" t="s">
        <v>1409</v>
      </c>
      <c r="T5" s="25" t="s">
        <v>1422</v>
      </c>
      <c r="U5" s="25">
        <v>2024</v>
      </c>
      <c r="V5" s="25">
        <v>144</v>
      </c>
      <c r="W5" s="25">
        <v>173</v>
      </c>
      <c r="X5" s="25">
        <v>134</v>
      </c>
      <c r="Y5" s="27">
        <v>46230</v>
      </c>
      <c r="Z5" s="24" t="s">
        <v>1419</v>
      </c>
    </row>
    <row r="6" spans="1:26" ht="42" x14ac:dyDescent="0.15">
      <c r="A6" t="s">
        <v>37</v>
      </c>
      <c r="B6" t="s">
        <v>38</v>
      </c>
      <c r="C6">
        <v>2025</v>
      </c>
      <c r="D6" t="s">
        <v>39</v>
      </c>
      <c r="E6" t="s">
        <v>16</v>
      </c>
      <c r="F6" t="s">
        <v>17</v>
      </c>
      <c r="G6">
        <v>169</v>
      </c>
      <c r="H6" t="s">
        <v>41</v>
      </c>
      <c r="I6" t="str">
        <f>VLOOKUP($D6,Scopus!$A$2:$K$49,3,FALSE)</f>
        <v>99.0%
1/203
Signal Processing</v>
      </c>
      <c r="J6" t="str">
        <f>VLOOKUP($D6,Scopus!$A$2:$K$49,10,FALSE)</f>
        <v>Q1</v>
      </c>
      <c r="K6" t="str">
        <f>VLOOKUP($D6,Scopus!$A$2:$K$49,11,FALSE)</f>
        <v>1566-2535</v>
      </c>
      <c r="L6" t="e">
        <f t="shared" si="0"/>
        <v>#N/A</v>
      </c>
      <c r="M6" s="24" t="s">
        <v>1423</v>
      </c>
      <c r="N6" s="25" t="s">
        <v>1327</v>
      </c>
      <c r="O6" s="25" t="s">
        <v>383</v>
      </c>
      <c r="P6" s="25" t="s">
        <v>1329</v>
      </c>
      <c r="Q6" s="25" t="s">
        <v>1413</v>
      </c>
      <c r="R6" s="26">
        <v>0.99</v>
      </c>
      <c r="S6" s="25" t="s">
        <v>1409</v>
      </c>
      <c r="T6" s="25" t="s">
        <v>1424</v>
      </c>
      <c r="U6" s="25">
        <v>2025</v>
      </c>
      <c r="V6" s="25">
        <v>19</v>
      </c>
      <c r="W6" s="25">
        <v>28</v>
      </c>
      <c r="X6" s="25">
        <v>24</v>
      </c>
      <c r="Y6" s="27">
        <v>46230</v>
      </c>
      <c r="Z6" s="24" t="s">
        <v>1423</v>
      </c>
    </row>
    <row r="7" spans="1:26" ht="42" x14ac:dyDescent="0.15">
      <c r="A7" t="s">
        <v>547</v>
      </c>
      <c r="B7" t="s">
        <v>548</v>
      </c>
      <c r="C7">
        <v>2020</v>
      </c>
      <c r="D7" t="s">
        <v>549</v>
      </c>
      <c r="E7" t="s">
        <v>321</v>
      </c>
      <c r="F7" t="s">
        <v>32</v>
      </c>
      <c r="G7">
        <v>217</v>
      </c>
      <c r="H7" t="s">
        <v>551</v>
      </c>
      <c r="I7" t="str">
        <f>VLOOKUP($D7,Scopus!$A$2:$K$49,3,FALSE)</f>
        <v>93.0%
17/245
Hardware and Architecture</v>
      </c>
      <c r="J7" t="str">
        <f>VLOOKUP($D7,Scopus!$A$2:$K$49,10,FALSE)</f>
        <v>Q1</v>
      </c>
      <c r="K7" t="str">
        <f>VLOOKUP($D7,Scopus!$A$2:$K$49,11,FALSE)</f>
        <v>1939-1374</v>
      </c>
      <c r="L7" t="e">
        <f t="shared" si="0"/>
        <v>#N/A</v>
      </c>
      <c r="M7" s="24" t="s">
        <v>1425</v>
      </c>
      <c r="N7" s="25" t="s">
        <v>843</v>
      </c>
      <c r="O7" s="25" t="s">
        <v>25</v>
      </c>
      <c r="P7" s="25" t="s">
        <v>846</v>
      </c>
      <c r="Q7" s="25" t="s">
        <v>1413</v>
      </c>
      <c r="R7" s="26">
        <v>0.9</v>
      </c>
      <c r="S7" s="25" t="s">
        <v>1409</v>
      </c>
      <c r="T7" s="25" t="s">
        <v>1426</v>
      </c>
      <c r="U7" s="25">
        <v>2025</v>
      </c>
      <c r="V7" s="25">
        <v>48</v>
      </c>
      <c r="W7" s="25">
        <v>57</v>
      </c>
      <c r="X7" s="25">
        <v>44</v>
      </c>
      <c r="Y7" s="27">
        <v>46230</v>
      </c>
      <c r="Z7" s="24" t="s">
        <v>1425</v>
      </c>
    </row>
    <row r="8" spans="1:26" ht="42" x14ac:dyDescent="0.15">
      <c r="A8" t="s">
        <v>796</v>
      </c>
      <c r="B8" t="s">
        <v>797</v>
      </c>
      <c r="C8">
        <v>2025</v>
      </c>
      <c r="D8" t="s">
        <v>549</v>
      </c>
      <c r="E8" t="s">
        <v>640</v>
      </c>
      <c r="F8" t="s">
        <v>32</v>
      </c>
      <c r="G8">
        <v>7</v>
      </c>
      <c r="H8" t="s">
        <v>798</v>
      </c>
      <c r="I8" t="str">
        <f>VLOOKUP($D8,Scopus!$A$2:$K$49,3,FALSE)</f>
        <v>93.0%
17/245
Hardware and Architecture</v>
      </c>
      <c r="J8" t="str">
        <f>VLOOKUP($D8,Scopus!$A$2:$K$49,10,FALSE)</f>
        <v>Q1</v>
      </c>
      <c r="K8" t="str">
        <f>VLOOKUP($D8,Scopus!$A$2:$K$49,11,FALSE)</f>
        <v>1939-1374</v>
      </c>
      <c r="L8" t="e">
        <f t="shared" si="0"/>
        <v>#N/A</v>
      </c>
      <c r="M8" s="24" t="s">
        <v>1427</v>
      </c>
      <c r="N8" s="25" t="s">
        <v>84</v>
      </c>
      <c r="O8" s="25" t="s">
        <v>25</v>
      </c>
      <c r="P8" s="25" t="s">
        <v>87</v>
      </c>
      <c r="Q8" s="25" t="s">
        <v>1413</v>
      </c>
      <c r="R8" s="26">
        <v>0.9</v>
      </c>
      <c r="S8" s="25" t="s">
        <v>1409</v>
      </c>
      <c r="T8" s="25" t="s">
        <v>1426</v>
      </c>
      <c r="U8" s="25">
        <v>2020</v>
      </c>
      <c r="V8" s="25">
        <v>10</v>
      </c>
      <c r="W8" s="25">
        <v>9</v>
      </c>
      <c r="X8" s="25">
        <v>8</v>
      </c>
      <c r="Y8" s="27">
        <v>46230</v>
      </c>
      <c r="Z8" s="24" t="s">
        <v>1427</v>
      </c>
    </row>
    <row r="9" spans="1:26" ht="42" x14ac:dyDescent="0.15">
      <c r="A9" t="s">
        <v>1003</v>
      </c>
      <c r="B9" t="s">
        <v>1004</v>
      </c>
      <c r="C9">
        <v>2025</v>
      </c>
      <c r="D9" t="s">
        <v>549</v>
      </c>
      <c r="E9" t="s">
        <v>957</v>
      </c>
      <c r="F9" t="s">
        <v>32</v>
      </c>
      <c r="G9">
        <v>0</v>
      </c>
      <c r="H9" t="s">
        <v>1005</v>
      </c>
      <c r="I9" t="str">
        <f>VLOOKUP($D9,Scopus!$A$2:$K$49,3,FALSE)</f>
        <v>93.0%
17/245
Hardware and Architecture</v>
      </c>
      <c r="J9" t="str">
        <f>VLOOKUP($D9,Scopus!$A$2:$K$49,10,FALSE)</f>
        <v>Q1</v>
      </c>
      <c r="K9" t="str">
        <f>VLOOKUP($D9,Scopus!$A$2:$K$49,11,FALSE)</f>
        <v>1939-1374</v>
      </c>
      <c r="L9" t="e">
        <f t="shared" si="0"/>
        <v>#N/A</v>
      </c>
      <c r="M9" s="24" t="s">
        <v>1428</v>
      </c>
      <c r="N9" s="25" t="s">
        <v>610</v>
      </c>
      <c r="O9" s="25" t="s">
        <v>25</v>
      </c>
      <c r="P9" s="25" t="s">
        <v>613</v>
      </c>
      <c r="Q9" s="25" t="s">
        <v>1413</v>
      </c>
      <c r="R9" s="26">
        <v>0.9</v>
      </c>
      <c r="S9" s="25" t="s">
        <v>1409</v>
      </c>
      <c r="T9" s="25" t="s">
        <v>1426</v>
      </c>
      <c r="U9" s="25">
        <v>2024</v>
      </c>
      <c r="V9" s="25">
        <v>135</v>
      </c>
      <c r="W9" s="25">
        <v>134</v>
      </c>
      <c r="X9" s="25">
        <v>141</v>
      </c>
      <c r="Y9" s="27">
        <v>46230</v>
      </c>
      <c r="Z9" s="24" t="s">
        <v>1428</v>
      </c>
    </row>
    <row r="10" spans="1:26" ht="42" x14ac:dyDescent="0.15">
      <c r="A10" t="s">
        <v>1190</v>
      </c>
      <c r="B10" t="s">
        <v>1191</v>
      </c>
      <c r="C10">
        <v>2025</v>
      </c>
      <c r="D10" t="s">
        <v>1192</v>
      </c>
      <c r="E10" t="s">
        <v>1053</v>
      </c>
      <c r="F10" t="s">
        <v>32</v>
      </c>
      <c r="G10">
        <v>44</v>
      </c>
      <c r="H10" t="s">
        <v>1194</v>
      </c>
      <c r="I10" t="str">
        <f>VLOOKUP($D10,Scopus!$A$2:$K$49,3,FALSE)</f>
        <v>84.0%
34/212
Computational Mathematics</v>
      </c>
      <c r="J10" t="str">
        <f>VLOOKUP($D10,Scopus!$A$2:$K$49,10,FALSE)</f>
        <v>Q2</v>
      </c>
      <c r="K10" t="str">
        <f>VLOOKUP($D10,Scopus!$A$2:$K$49,11,FALSE)</f>
        <v>1999-4893</v>
      </c>
      <c r="L10" t="e">
        <f t="shared" si="0"/>
        <v>#N/A</v>
      </c>
      <c r="M10" s="24" t="s">
        <v>1429</v>
      </c>
      <c r="N10" s="25" t="s">
        <v>37</v>
      </c>
      <c r="O10" s="25" t="s">
        <v>39</v>
      </c>
      <c r="P10" s="25" t="s">
        <v>41</v>
      </c>
      <c r="Q10" s="25" t="s">
        <v>1413</v>
      </c>
      <c r="R10" s="26">
        <v>0.99</v>
      </c>
      <c r="S10" s="25" t="s">
        <v>1409</v>
      </c>
      <c r="T10" s="25" t="s">
        <v>1430</v>
      </c>
      <c r="U10" s="25">
        <v>2025</v>
      </c>
      <c r="V10" s="25">
        <v>132</v>
      </c>
      <c r="W10" s="25">
        <v>149</v>
      </c>
      <c r="X10" s="25">
        <v>136</v>
      </c>
      <c r="Y10" s="27">
        <v>46230</v>
      </c>
      <c r="Z10" s="24" t="s">
        <v>1429</v>
      </c>
    </row>
    <row r="11" spans="1:26" ht="42" x14ac:dyDescent="0.15">
      <c r="A11" t="s">
        <v>1196</v>
      </c>
      <c r="B11" t="s">
        <v>1197</v>
      </c>
      <c r="C11">
        <v>2025</v>
      </c>
      <c r="D11" t="s">
        <v>1198</v>
      </c>
      <c r="E11" t="s">
        <v>1053</v>
      </c>
      <c r="F11" t="s">
        <v>32</v>
      </c>
      <c r="G11">
        <v>126</v>
      </c>
      <c r="H11" t="s">
        <v>1200</v>
      </c>
      <c r="I11" t="str">
        <f>VLOOKUP($D11,Scopus!$A$2:$K$49,3,FALSE)</f>
        <v>88.0%
65/568
Computer Networks and Communications</v>
      </c>
      <c r="J11" t="str">
        <f>VLOOKUP($D11,Scopus!$A$2:$K$49,10,FALSE)</f>
        <v>Q1</v>
      </c>
      <c r="K11" t="str">
        <f>VLOOKUP($D11,Scopus!$A$2:$K$49,11,FALSE)</f>
        <v>1999-5903</v>
      </c>
      <c r="L11" t="e">
        <f t="shared" si="0"/>
        <v>#N/A</v>
      </c>
      <c r="M11" s="24" t="s">
        <v>1431</v>
      </c>
      <c r="N11" s="25" t="s">
        <v>1432</v>
      </c>
      <c r="O11" s="25" t="s">
        <v>25</v>
      </c>
      <c r="P11" s="25" t="s">
        <v>851</v>
      </c>
      <c r="Q11" s="25" t="s">
        <v>1413</v>
      </c>
      <c r="R11" s="26">
        <v>0.9</v>
      </c>
      <c r="S11" s="25" t="s">
        <v>1409</v>
      </c>
      <c r="T11" s="25" t="s">
        <v>1426</v>
      </c>
      <c r="U11" s="25">
        <v>2025</v>
      </c>
      <c r="V11" s="25">
        <v>487</v>
      </c>
      <c r="W11" s="25">
        <v>534</v>
      </c>
      <c r="X11" s="25">
        <v>509</v>
      </c>
      <c r="Y11" s="27">
        <v>46230</v>
      </c>
      <c r="Z11" s="24" t="s">
        <v>1431</v>
      </c>
    </row>
    <row r="12" spans="1:26" ht="42" x14ac:dyDescent="0.15">
      <c r="A12" t="s">
        <v>829</v>
      </c>
      <c r="B12" t="s">
        <v>830</v>
      </c>
      <c r="C12">
        <v>2025</v>
      </c>
      <c r="D12" t="s">
        <v>831</v>
      </c>
      <c r="E12" t="s">
        <v>640</v>
      </c>
      <c r="F12" t="s">
        <v>32</v>
      </c>
      <c r="G12">
        <v>21</v>
      </c>
      <c r="H12" t="s">
        <v>833</v>
      </c>
      <c r="I12" t="str">
        <f>VLOOKUP($D12,Scopus!$A$2:$K$49,3,FALSE)</f>
        <v>79.0%
139/692
Arts and Humanities (miscellaneous)</v>
      </c>
      <c r="J12" t="str">
        <f>VLOOKUP($D12,Scopus!$A$2:$K$49,10,FALSE)</f>
        <v>Q1</v>
      </c>
      <c r="K12" t="str">
        <f>VLOOKUP($D12,Scopus!$A$2:$K$49,11,FALSE)</f>
        <v>2046-1402</v>
      </c>
      <c r="L12" t="e">
        <f t="shared" si="0"/>
        <v>#N/A</v>
      </c>
      <c r="M12" s="24" t="s">
        <v>1433</v>
      </c>
      <c r="N12" s="25" t="s">
        <v>68</v>
      </c>
      <c r="O12" s="25" t="s">
        <v>25</v>
      </c>
      <c r="P12" s="25" t="s">
        <v>71</v>
      </c>
      <c r="Q12" s="25" t="s">
        <v>1413</v>
      </c>
      <c r="R12" s="26">
        <v>0.9</v>
      </c>
      <c r="S12" s="25" t="s">
        <v>1409</v>
      </c>
      <c r="T12" s="25" t="s">
        <v>1426</v>
      </c>
      <c r="U12" s="25">
        <v>2024</v>
      </c>
      <c r="V12" s="25">
        <v>9</v>
      </c>
      <c r="W12" s="25">
        <v>9</v>
      </c>
      <c r="X12" s="25">
        <v>10</v>
      </c>
      <c r="Y12" s="27">
        <v>46230</v>
      </c>
      <c r="Z12" s="24" t="s">
        <v>1433</v>
      </c>
    </row>
    <row r="13" spans="1:26" ht="42" x14ac:dyDescent="0.15">
      <c r="A13" t="s">
        <v>1128</v>
      </c>
      <c r="B13" t="s">
        <v>830</v>
      </c>
      <c r="C13">
        <v>2025</v>
      </c>
      <c r="D13" t="s">
        <v>831</v>
      </c>
      <c r="E13" t="s">
        <v>1053</v>
      </c>
      <c r="F13" t="s">
        <v>17</v>
      </c>
      <c r="G13">
        <v>13</v>
      </c>
      <c r="H13" t="s">
        <v>1129</v>
      </c>
      <c r="I13" t="str">
        <f>VLOOKUP($D13,Scopus!$A$2:$K$49,3,FALSE)</f>
        <v>79.0%
139/692
Arts and Humanities (miscellaneous)</v>
      </c>
      <c r="J13" t="str">
        <f>VLOOKUP($D13,Scopus!$A$2:$K$49,10,FALSE)</f>
        <v>Q1</v>
      </c>
      <c r="K13" t="str">
        <f>VLOOKUP($D13,Scopus!$A$2:$K$49,11,FALSE)</f>
        <v>2046-1402</v>
      </c>
      <c r="L13" t="e">
        <f t="shared" si="0"/>
        <v>#N/A</v>
      </c>
      <c r="M13" s="24" t="s">
        <v>1434</v>
      </c>
      <c r="N13" s="25" t="s">
        <v>1435</v>
      </c>
      <c r="O13" s="25" t="s">
        <v>25</v>
      </c>
      <c r="P13" s="25" t="s">
        <v>1225</v>
      </c>
      <c r="Q13" s="25" t="s">
        <v>1413</v>
      </c>
      <c r="R13" s="26">
        <v>0.9</v>
      </c>
      <c r="S13" s="25" t="s">
        <v>1409</v>
      </c>
      <c r="T13" s="25" t="s">
        <v>1426</v>
      </c>
      <c r="U13" s="25">
        <v>2024</v>
      </c>
      <c r="V13" s="25">
        <v>86</v>
      </c>
      <c r="W13" s="25">
        <v>93</v>
      </c>
      <c r="X13" s="25">
        <v>101</v>
      </c>
      <c r="Y13" s="27">
        <v>46230</v>
      </c>
      <c r="Z13" s="24" t="s">
        <v>1434</v>
      </c>
    </row>
    <row r="14" spans="1:26" ht="42" x14ac:dyDescent="0.15">
      <c r="A14" t="s">
        <v>758</v>
      </c>
      <c r="B14" t="s">
        <v>759</v>
      </c>
      <c r="C14">
        <v>2025</v>
      </c>
      <c r="D14" t="s">
        <v>268</v>
      </c>
      <c r="E14" t="s">
        <v>640</v>
      </c>
      <c r="F14" t="s">
        <v>75</v>
      </c>
      <c r="G14">
        <v>24</v>
      </c>
      <c r="H14" t="s">
        <v>760</v>
      </c>
      <c r="I14" t="str">
        <f>VLOOKUP($D14,Scopus!$A$2:$K$49,3,FALSE)</f>
        <v>83.0%
35/203
Signal Processing</v>
      </c>
      <c r="J14" t="str">
        <f>VLOOKUP($D14,Scopus!$A$2:$K$49,10,FALSE)</f>
        <v>Q2</v>
      </c>
      <c r="K14" t="str">
        <f>VLOOKUP($D14,Scopus!$A$2:$K$49,11,FALSE)</f>
        <v>2079-9292</v>
      </c>
      <c r="L14" t="e">
        <f t="shared" si="0"/>
        <v>#N/A</v>
      </c>
      <c r="M14" s="24" t="s">
        <v>1436</v>
      </c>
      <c r="N14" s="25" t="s">
        <v>1437</v>
      </c>
      <c r="O14" s="25" t="s">
        <v>25</v>
      </c>
      <c r="P14" s="25" t="s">
        <v>274</v>
      </c>
      <c r="Q14" s="25" t="s">
        <v>1413</v>
      </c>
      <c r="R14" s="26">
        <v>0.9</v>
      </c>
      <c r="S14" s="25" t="s">
        <v>1409</v>
      </c>
      <c r="T14" s="25" t="s">
        <v>1426</v>
      </c>
      <c r="U14" s="25">
        <v>2025</v>
      </c>
      <c r="V14" s="25">
        <v>29</v>
      </c>
      <c r="W14" s="25">
        <v>33</v>
      </c>
      <c r="X14" s="25">
        <v>31</v>
      </c>
      <c r="Y14" s="27">
        <v>46230</v>
      </c>
      <c r="Z14" s="24" t="s">
        <v>1436</v>
      </c>
    </row>
    <row r="15" spans="1:26" ht="42" x14ac:dyDescent="0.15">
      <c r="A15" t="s">
        <v>266</v>
      </c>
      <c r="B15" t="s">
        <v>267</v>
      </c>
      <c r="C15">
        <v>2025</v>
      </c>
      <c r="D15" t="s">
        <v>268</v>
      </c>
      <c r="E15" t="s">
        <v>237</v>
      </c>
      <c r="F15" t="s">
        <v>32</v>
      </c>
      <c r="G15">
        <v>0</v>
      </c>
      <c r="H15" t="s">
        <v>269</v>
      </c>
      <c r="I15" t="str">
        <f>VLOOKUP($D15,Scopus!$A$2:$K$49,3,FALSE)</f>
        <v>83.0%
35/203
Signal Processing</v>
      </c>
      <c r="J15" t="str">
        <f>VLOOKUP($D15,Scopus!$A$2:$K$49,10,FALSE)</f>
        <v>Q2</v>
      </c>
      <c r="K15" t="str">
        <f>VLOOKUP($D15,Scopus!$A$2:$K$49,11,FALSE)</f>
        <v>2079-9292</v>
      </c>
      <c r="L15" t="e">
        <f t="shared" si="0"/>
        <v>#N/A</v>
      </c>
      <c r="M15" s="24" t="s">
        <v>1438</v>
      </c>
      <c r="N15" s="25" t="s">
        <v>1439</v>
      </c>
      <c r="O15" s="25" t="s">
        <v>1178</v>
      </c>
      <c r="P15" s="25" t="s">
        <v>1180</v>
      </c>
      <c r="Q15" s="25" t="s">
        <v>1413</v>
      </c>
      <c r="R15" s="26">
        <v>0.97</v>
      </c>
      <c r="S15" s="25" t="s">
        <v>1409</v>
      </c>
      <c r="T15" s="25" t="s">
        <v>1440</v>
      </c>
      <c r="U15" s="25">
        <v>2025</v>
      </c>
      <c r="V15" s="25">
        <v>45</v>
      </c>
      <c r="W15" s="25">
        <v>48</v>
      </c>
      <c r="X15" s="25">
        <v>42</v>
      </c>
      <c r="Y15" s="27">
        <v>46230</v>
      </c>
      <c r="Z15" s="24" t="s">
        <v>1438</v>
      </c>
    </row>
    <row r="16" spans="1:26" ht="42" x14ac:dyDescent="0.15">
      <c r="A16" t="s">
        <v>460</v>
      </c>
      <c r="B16" t="s">
        <v>461</v>
      </c>
      <c r="C16">
        <v>2022</v>
      </c>
      <c r="D16" t="s">
        <v>25</v>
      </c>
      <c r="E16" t="s">
        <v>321</v>
      </c>
      <c r="F16" t="s">
        <v>75</v>
      </c>
      <c r="G16">
        <v>1060</v>
      </c>
      <c r="H16" t="s">
        <v>463</v>
      </c>
      <c r="I16" t="str">
        <f>VLOOKUP($D16,Scopus!$A$2:$K$49,3,FALSE)</f>
        <v>91.0%
31/351
General Engineering</v>
      </c>
      <c r="J16" t="str">
        <f>VLOOKUP($D16,Scopus!$A$2:$K$49,10,FALSE)</f>
        <v>Q1</v>
      </c>
      <c r="K16" t="str">
        <f>VLOOKUP($D16,Scopus!$A$2:$K$49,11,FALSE)</f>
        <v>2169-3536</v>
      </c>
      <c r="L16" t="e">
        <f t="shared" si="0"/>
        <v>#N/A</v>
      </c>
      <c r="M16" s="24" t="s">
        <v>1441</v>
      </c>
      <c r="N16" s="25" t="s">
        <v>1442</v>
      </c>
      <c r="O16" s="25" t="s">
        <v>1198</v>
      </c>
      <c r="P16" s="25" t="s">
        <v>1200</v>
      </c>
      <c r="Q16" s="25" t="s">
        <v>1408</v>
      </c>
      <c r="R16" s="26">
        <v>0.84</v>
      </c>
      <c r="S16" s="25" t="s">
        <v>1409</v>
      </c>
      <c r="T16" s="25" t="s">
        <v>1443</v>
      </c>
      <c r="U16" s="25">
        <v>2025</v>
      </c>
      <c r="V16" s="25">
        <v>101</v>
      </c>
      <c r="W16" s="25">
        <v>114</v>
      </c>
      <c r="X16" s="25">
        <v>87</v>
      </c>
      <c r="Y16" s="27">
        <v>46230</v>
      </c>
      <c r="Z16" s="24" t="s">
        <v>1441</v>
      </c>
    </row>
    <row r="17" spans="1:26" ht="42" x14ac:dyDescent="0.15">
      <c r="A17" t="s">
        <v>495</v>
      </c>
      <c r="B17" t="s">
        <v>496</v>
      </c>
      <c r="C17">
        <v>2021</v>
      </c>
      <c r="D17" t="s">
        <v>25</v>
      </c>
      <c r="E17" t="s">
        <v>321</v>
      </c>
      <c r="F17" t="s">
        <v>17</v>
      </c>
      <c r="G17">
        <v>576</v>
      </c>
      <c r="H17" t="s">
        <v>498</v>
      </c>
      <c r="I17" t="str">
        <f>VLOOKUP($D17,Scopus!$A$2:$K$49,3,FALSE)</f>
        <v>91.0%
31/351
General Engineering</v>
      </c>
      <c r="J17" t="str">
        <f>VLOOKUP($D17,Scopus!$A$2:$K$49,10,FALSE)</f>
        <v>Q1</v>
      </c>
      <c r="K17" t="str">
        <f>VLOOKUP($D17,Scopus!$A$2:$K$49,11,FALSE)</f>
        <v>2169-3536</v>
      </c>
      <c r="L17" t="e">
        <f t="shared" si="0"/>
        <v>#N/A</v>
      </c>
      <c r="M17" s="24" t="s">
        <v>1444</v>
      </c>
      <c r="N17" s="25" t="s">
        <v>1445</v>
      </c>
      <c r="O17" s="25" t="s">
        <v>383</v>
      </c>
      <c r="P17" s="25" t="s">
        <v>1446</v>
      </c>
      <c r="Q17" s="25" t="s">
        <v>1413</v>
      </c>
      <c r="R17" s="26">
        <v>0.99</v>
      </c>
      <c r="S17" s="25" t="s">
        <v>1409</v>
      </c>
      <c r="T17" s="25" t="s">
        <v>1424</v>
      </c>
      <c r="U17" s="25">
        <v>2023</v>
      </c>
      <c r="V17" s="25">
        <v>63</v>
      </c>
      <c r="W17" s="25">
        <v>68</v>
      </c>
      <c r="X17" s="25">
        <v>72</v>
      </c>
      <c r="Y17" s="27">
        <v>46230</v>
      </c>
      <c r="Z17" s="24" t="s">
        <v>1444</v>
      </c>
    </row>
    <row r="18" spans="1:26" ht="42" x14ac:dyDescent="0.15">
      <c r="A18" t="s">
        <v>848</v>
      </c>
      <c r="B18" t="s">
        <v>849</v>
      </c>
      <c r="C18">
        <v>2025</v>
      </c>
      <c r="D18" t="s">
        <v>25</v>
      </c>
      <c r="E18" t="s">
        <v>640</v>
      </c>
      <c r="F18" t="s">
        <v>32</v>
      </c>
      <c r="G18">
        <v>562</v>
      </c>
      <c r="H18" t="s">
        <v>851</v>
      </c>
      <c r="I18" t="str">
        <f>VLOOKUP($D18,Scopus!$A$2:$K$49,3,FALSE)</f>
        <v>91.0%
31/351
General Engineering</v>
      </c>
      <c r="J18" t="str">
        <f>VLOOKUP($D18,Scopus!$A$2:$K$49,10,FALSE)</f>
        <v>Q1</v>
      </c>
      <c r="K18" t="str">
        <f>VLOOKUP($D18,Scopus!$A$2:$K$49,11,FALSE)</f>
        <v>2169-3536</v>
      </c>
      <c r="L18" t="e">
        <f t="shared" si="0"/>
        <v>#N/A</v>
      </c>
      <c r="M18" s="24" t="s">
        <v>1447</v>
      </c>
      <c r="N18" s="25" t="s">
        <v>615</v>
      </c>
      <c r="O18" s="25" t="s">
        <v>25</v>
      </c>
      <c r="P18" s="25" t="s">
        <v>618</v>
      </c>
      <c r="Q18" s="25" t="s">
        <v>1413</v>
      </c>
      <c r="R18" s="26">
        <v>0.9</v>
      </c>
      <c r="S18" s="25" t="s">
        <v>1409</v>
      </c>
      <c r="T18" s="25" t="s">
        <v>1426</v>
      </c>
      <c r="U18" s="25">
        <v>2023</v>
      </c>
      <c r="V18" s="25">
        <v>300</v>
      </c>
      <c r="W18" s="25">
        <v>297</v>
      </c>
      <c r="X18" s="25">
        <v>290</v>
      </c>
      <c r="Y18" s="27">
        <v>46230</v>
      </c>
      <c r="Z18" s="24" t="s">
        <v>1447</v>
      </c>
    </row>
    <row r="19" spans="1:26" ht="42" x14ac:dyDescent="0.15">
      <c r="A19" t="s">
        <v>1242</v>
      </c>
      <c r="B19" t="s">
        <v>1243</v>
      </c>
      <c r="C19">
        <v>2021</v>
      </c>
      <c r="D19" t="s">
        <v>25</v>
      </c>
      <c r="E19" t="s">
        <v>1053</v>
      </c>
      <c r="F19" t="s">
        <v>75</v>
      </c>
      <c r="G19">
        <v>456</v>
      </c>
      <c r="H19" t="s">
        <v>1245</v>
      </c>
      <c r="I19" t="str">
        <f>VLOOKUP($D19,Scopus!$A$2:$K$49,3,FALSE)</f>
        <v>91.0%
31/351
General Engineering</v>
      </c>
      <c r="J19" t="str">
        <f>VLOOKUP($D19,Scopus!$A$2:$K$49,10,FALSE)</f>
        <v>Q1</v>
      </c>
      <c r="K19" t="str">
        <f>VLOOKUP($D19,Scopus!$A$2:$K$49,11,FALSE)</f>
        <v>2169-3536</v>
      </c>
      <c r="L19" t="e">
        <f t="shared" si="0"/>
        <v>#N/A</v>
      </c>
      <c r="M19" s="24" t="s">
        <v>1448</v>
      </c>
      <c r="N19" s="25" t="s">
        <v>881</v>
      </c>
      <c r="O19" s="25" t="s">
        <v>1449</v>
      </c>
      <c r="P19" s="25" t="s">
        <v>885</v>
      </c>
      <c r="Q19" s="25" t="s">
        <v>1408</v>
      </c>
      <c r="R19" s="26">
        <v>0.87</v>
      </c>
      <c r="S19" s="25" t="s">
        <v>1409</v>
      </c>
      <c r="T19" s="25" t="s">
        <v>1450</v>
      </c>
      <c r="U19" s="25">
        <v>2024</v>
      </c>
      <c r="V19" s="25">
        <v>21</v>
      </c>
      <c r="W19" s="25">
        <v>21</v>
      </c>
      <c r="X19" s="25">
        <v>20</v>
      </c>
      <c r="Y19" s="27">
        <v>46230</v>
      </c>
      <c r="Z19" s="24" t="s">
        <v>1448</v>
      </c>
    </row>
    <row r="20" spans="1:26" ht="42" x14ac:dyDescent="0.15">
      <c r="A20" t="s">
        <v>525</v>
      </c>
      <c r="B20" t="s">
        <v>526</v>
      </c>
      <c r="C20">
        <v>2020</v>
      </c>
      <c r="D20" t="s">
        <v>25</v>
      </c>
      <c r="E20" t="s">
        <v>321</v>
      </c>
      <c r="F20" t="s">
        <v>75</v>
      </c>
      <c r="G20">
        <v>321</v>
      </c>
      <c r="H20" t="s">
        <v>528</v>
      </c>
      <c r="I20" t="str">
        <f>VLOOKUP($D20,Scopus!$A$2:$K$49,3,FALSE)</f>
        <v>91.0%
31/351
General Engineering</v>
      </c>
      <c r="J20" t="str">
        <f>VLOOKUP($D20,Scopus!$A$2:$K$49,10,FALSE)</f>
        <v>Q1</v>
      </c>
      <c r="K20" t="str">
        <f>VLOOKUP($D20,Scopus!$A$2:$K$49,11,FALSE)</f>
        <v>2169-3536</v>
      </c>
      <c r="L20" t="e">
        <f t="shared" si="0"/>
        <v>#N/A</v>
      </c>
      <c r="M20" s="24" t="s">
        <v>1451</v>
      </c>
      <c r="N20" s="25" t="s">
        <v>79</v>
      </c>
      <c r="O20" s="25" t="s">
        <v>25</v>
      </c>
      <c r="P20" s="25" t="s">
        <v>82</v>
      </c>
      <c r="Q20" s="25" t="s">
        <v>1413</v>
      </c>
      <c r="R20" s="26">
        <v>0.9</v>
      </c>
      <c r="S20" s="25" t="s">
        <v>1409</v>
      </c>
      <c r="T20" s="25" t="s">
        <v>1426</v>
      </c>
      <c r="U20" s="25">
        <v>2021</v>
      </c>
      <c r="V20" s="25">
        <v>32</v>
      </c>
      <c r="W20" s="25">
        <v>32</v>
      </c>
      <c r="X20" s="25">
        <v>36</v>
      </c>
      <c r="Y20" s="27">
        <v>46230</v>
      </c>
      <c r="Z20" s="24" t="s">
        <v>1451</v>
      </c>
    </row>
    <row r="21" spans="1:26" ht="42" x14ac:dyDescent="0.15">
      <c r="A21" t="s">
        <v>615</v>
      </c>
      <c r="B21" t="s">
        <v>616</v>
      </c>
      <c r="C21">
        <v>2023</v>
      </c>
      <c r="D21" t="s">
        <v>25</v>
      </c>
      <c r="E21" t="s">
        <v>599</v>
      </c>
      <c r="F21" t="s">
        <v>32</v>
      </c>
      <c r="G21">
        <v>316</v>
      </c>
      <c r="H21" t="s">
        <v>618</v>
      </c>
      <c r="I21" t="str">
        <f>VLOOKUP($D21,Scopus!$A$2:$K$49,3,FALSE)</f>
        <v>91.0%
31/351
General Engineering</v>
      </c>
      <c r="J21" t="str">
        <f>VLOOKUP($D21,Scopus!$A$2:$K$49,10,FALSE)</f>
        <v>Q1</v>
      </c>
      <c r="K21" t="str">
        <f>VLOOKUP($D21,Scopus!$A$2:$K$49,11,FALSE)</f>
        <v>2169-3536</v>
      </c>
      <c r="L21" t="e">
        <f t="shared" si="0"/>
        <v>#N/A</v>
      </c>
      <c r="M21" s="24" t="s">
        <v>1452</v>
      </c>
      <c r="N21" s="25" t="s">
        <v>1453</v>
      </c>
      <c r="O21" s="25" t="s">
        <v>25</v>
      </c>
      <c r="P21" s="25" t="s">
        <v>1354</v>
      </c>
      <c r="Q21" s="25" t="s">
        <v>1413</v>
      </c>
      <c r="R21" s="26">
        <v>0.9</v>
      </c>
      <c r="S21" s="25" t="s">
        <v>1409</v>
      </c>
      <c r="T21" s="25" t="s">
        <v>1426</v>
      </c>
      <c r="U21" s="25">
        <v>2025</v>
      </c>
      <c r="V21" s="25">
        <v>9</v>
      </c>
      <c r="W21" s="25">
        <v>11</v>
      </c>
      <c r="X21" s="25">
        <v>7</v>
      </c>
      <c r="Y21" s="27">
        <v>46230</v>
      </c>
      <c r="Z21" s="24" t="s">
        <v>1452</v>
      </c>
    </row>
    <row r="22" spans="1:26" ht="42" x14ac:dyDescent="0.15">
      <c r="A22" t="s">
        <v>542</v>
      </c>
      <c r="B22" t="s">
        <v>543</v>
      </c>
      <c r="C22">
        <v>2020</v>
      </c>
      <c r="D22" t="s">
        <v>25</v>
      </c>
      <c r="E22" t="s">
        <v>321</v>
      </c>
      <c r="F22" t="s">
        <v>75</v>
      </c>
      <c r="G22">
        <v>278</v>
      </c>
      <c r="H22" t="s">
        <v>545</v>
      </c>
      <c r="I22" t="str">
        <f>VLOOKUP($D22,Scopus!$A$2:$K$49,3,FALSE)</f>
        <v>91.0%
31/351
General Engineering</v>
      </c>
      <c r="J22" t="str">
        <f>VLOOKUP($D22,Scopus!$A$2:$K$49,10,FALSE)</f>
        <v>Q1</v>
      </c>
      <c r="K22" t="str">
        <f>VLOOKUP($D22,Scopus!$A$2:$K$49,11,FALSE)</f>
        <v>2169-3536</v>
      </c>
      <c r="L22" t="e">
        <f t="shared" si="0"/>
        <v>#N/A</v>
      </c>
      <c r="M22" s="24" t="s">
        <v>1454</v>
      </c>
      <c r="N22" s="25" t="s">
        <v>60</v>
      </c>
      <c r="O22" s="25" t="s">
        <v>25</v>
      </c>
      <c r="P22" s="25" t="s">
        <v>63</v>
      </c>
      <c r="Q22" s="25" t="s">
        <v>1413</v>
      </c>
      <c r="R22" s="26">
        <v>0.9</v>
      </c>
      <c r="S22" s="25" t="s">
        <v>1409</v>
      </c>
      <c r="T22" s="25" t="s">
        <v>1426</v>
      </c>
      <c r="U22" s="25">
        <v>2025</v>
      </c>
      <c r="V22" s="25">
        <v>0</v>
      </c>
      <c r="W22" s="25">
        <v>1</v>
      </c>
      <c r="X22" s="25">
        <v>1</v>
      </c>
      <c r="Y22" s="27">
        <v>46230</v>
      </c>
      <c r="Z22" s="24" t="s">
        <v>1454</v>
      </c>
    </row>
    <row r="23" spans="1:26" ht="42" x14ac:dyDescent="0.15">
      <c r="A23" t="s">
        <v>449</v>
      </c>
      <c r="B23" t="s">
        <v>450</v>
      </c>
      <c r="C23">
        <v>2022</v>
      </c>
      <c r="D23" t="s">
        <v>25</v>
      </c>
      <c r="E23" t="s">
        <v>321</v>
      </c>
      <c r="F23" t="s">
        <v>75</v>
      </c>
      <c r="G23">
        <v>263</v>
      </c>
      <c r="H23" t="s">
        <v>452</v>
      </c>
      <c r="I23" t="str">
        <f>VLOOKUP($D23,Scopus!$A$2:$K$49,3,FALSE)</f>
        <v>91.0%
31/351
General Engineering</v>
      </c>
      <c r="J23" t="str">
        <f>VLOOKUP($D23,Scopus!$A$2:$K$49,10,FALSE)</f>
        <v>Q1</v>
      </c>
      <c r="K23" t="str">
        <f>VLOOKUP($D23,Scopus!$A$2:$K$49,11,FALSE)</f>
        <v>2169-3536</v>
      </c>
      <c r="L23" t="e">
        <f t="shared" si="0"/>
        <v>#N/A</v>
      </c>
      <c r="M23" s="24" t="s">
        <v>1455</v>
      </c>
      <c r="N23" s="25" t="s">
        <v>1322</v>
      </c>
      <c r="O23" s="25" t="s">
        <v>1456</v>
      </c>
      <c r="P23" s="25" t="s">
        <v>1325</v>
      </c>
      <c r="Q23" s="25" t="s">
        <v>1413</v>
      </c>
      <c r="R23" s="26">
        <v>0.97</v>
      </c>
      <c r="S23" s="25" t="s">
        <v>1409</v>
      </c>
      <c r="T23" s="25" t="s">
        <v>1457</v>
      </c>
      <c r="U23" s="25">
        <v>2026</v>
      </c>
      <c r="V23" s="25">
        <v>1</v>
      </c>
      <c r="W23" s="25">
        <v>1</v>
      </c>
      <c r="X23" s="25">
        <v>1</v>
      </c>
      <c r="Y23" s="27">
        <v>46230</v>
      </c>
      <c r="Z23" s="24" t="s">
        <v>1455</v>
      </c>
    </row>
    <row r="24" spans="1:26" ht="42" x14ac:dyDescent="0.15">
      <c r="A24" t="s">
        <v>610</v>
      </c>
      <c r="B24" t="s">
        <v>611</v>
      </c>
      <c r="C24">
        <v>2024</v>
      </c>
      <c r="D24" t="s">
        <v>25</v>
      </c>
      <c r="E24" t="s">
        <v>599</v>
      </c>
      <c r="F24" t="s">
        <v>32</v>
      </c>
      <c r="G24">
        <v>147</v>
      </c>
      <c r="H24" t="s">
        <v>613</v>
      </c>
      <c r="I24" t="str">
        <f>VLOOKUP($D24,Scopus!$A$2:$K$49,3,FALSE)</f>
        <v>91.0%
31/351
General Engineering</v>
      </c>
      <c r="J24" t="str">
        <f>VLOOKUP($D24,Scopus!$A$2:$K$49,10,FALSE)</f>
        <v>Q1</v>
      </c>
      <c r="K24" t="str">
        <f>VLOOKUP($D24,Scopus!$A$2:$K$49,11,FALSE)</f>
        <v>2169-3536</v>
      </c>
      <c r="L24" t="e">
        <f t="shared" si="0"/>
        <v>#N/A</v>
      </c>
      <c r="M24" s="24" t="s">
        <v>1458</v>
      </c>
      <c r="N24" s="25" t="s">
        <v>1459</v>
      </c>
      <c r="O24" s="25" t="s">
        <v>549</v>
      </c>
      <c r="P24" s="25" t="s">
        <v>798</v>
      </c>
      <c r="Q24" s="25" t="s">
        <v>1413</v>
      </c>
      <c r="R24" s="26">
        <v>0.9</v>
      </c>
      <c r="S24" s="25" t="s">
        <v>1409</v>
      </c>
      <c r="T24" s="25" t="s">
        <v>1460</v>
      </c>
      <c r="U24" s="25">
        <v>2025</v>
      </c>
      <c r="V24" s="25">
        <v>3</v>
      </c>
      <c r="W24" s="25">
        <v>6</v>
      </c>
      <c r="X24" s="25">
        <v>5</v>
      </c>
      <c r="Y24" s="27">
        <v>46230</v>
      </c>
      <c r="Z24" s="24" t="s">
        <v>1458</v>
      </c>
    </row>
    <row r="25" spans="1:26" ht="42" x14ac:dyDescent="0.15">
      <c r="A25" t="s">
        <v>444</v>
      </c>
      <c r="B25" t="s">
        <v>445</v>
      </c>
      <c r="C25">
        <v>2022</v>
      </c>
      <c r="D25" t="s">
        <v>25</v>
      </c>
      <c r="E25" t="s">
        <v>321</v>
      </c>
      <c r="F25" t="s">
        <v>17</v>
      </c>
      <c r="G25">
        <v>115</v>
      </c>
      <c r="H25" t="s">
        <v>447</v>
      </c>
      <c r="I25" t="str">
        <f>VLOOKUP($D25,Scopus!$A$2:$K$49,3,FALSE)</f>
        <v>91.0%
31/351
General Engineering</v>
      </c>
      <c r="J25" t="str">
        <f>VLOOKUP($D25,Scopus!$A$2:$K$49,10,FALSE)</f>
        <v>Q1</v>
      </c>
      <c r="K25" t="str">
        <f>VLOOKUP($D25,Scopus!$A$2:$K$49,11,FALSE)</f>
        <v>2169-3536</v>
      </c>
      <c r="L25" t="e">
        <f t="shared" si="0"/>
        <v>#N/A</v>
      </c>
      <c r="M25" s="24" t="s">
        <v>1461</v>
      </c>
      <c r="N25" s="25" t="s">
        <v>48</v>
      </c>
      <c r="O25" s="25" t="s">
        <v>50</v>
      </c>
      <c r="P25" s="25" t="s">
        <v>52</v>
      </c>
      <c r="Q25" s="25" t="s">
        <v>1413</v>
      </c>
      <c r="R25" s="26">
        <v>0.97</v>
      </c>
      <c r="S25" s="25" t="s">
        <v>1409</v>
      </c>
      <c r="T25" s="25" t="s">
        <v>1462</v>
      </c>
      <c r="U25" s="25">
        <v>2025</v>
      </c>
      <c r="V25" s="25">
        <v>48</v>
      </c>
      <c r="W25" s="25">
        <v>54</v>
      </c>
      <c r="X25" s="25">
        <v>51</v>
      </c>
      <c r="Y25" s="27">
        <v>46230</v>
      </c>
      <c r="Z25" s="24" t="s">
        <v>1461</v>
      </c>
    </row>
    <row r="26" spans="1:26" ht="42" x14ac:dyDescent="0.15">
      <c r="A26" t="s">
        <v>1222</v>
      </c>
      <c r="B26" t="s">
        <v>1223</v>
      </c>
      <c r="C26">
        <v>2024</v>
      </c>
      <c r="D26" t="s">
        <v>25</v>
      </c>
      <c r="E26" t="s">
        <v>1053</v>
      </c>
      <c r="F26" t="s">
        <v>32</v>
      </c>
      <c r="G26">
        <v>92</v>
      </c>
      <c r="H26" t="s">
        <v>1225</v>
      </c>
      <c r="I26" t="str">
        <f>VLOOKUP($D26,Scopus!$A$2:$K$49,3,FALSE)</f>
        <v>91.0%
31/351
General Engineering</v>
      </c>
      <c r="J26" t="str">
        <f>VLOOKUP($D26,Scopus!$A$2:$K$49,10,FALSE)</f>
        <v>Q1</v>
      </c>
      <c r="K26" t="str">
        <f>VLOOKUP($D26,Scopus!$A$2:$K$49,11,FALSE)</f>
        <v>2169-3536</v>
      </c>
      <c r="L26" t="e">
        <f t="shared" si="0"/>
        <v>#N/A</v>
      </c>
      <c r="M26" s="24" t="s">
        <v>1463</v>
      </c>
      <c r="N26" s="25" t="s">
        <v>1264</v>
      </c>
      <c r="O26" s="25" t="s">
        <v>1266</v>
      </c>
      <c r="P26" s="25" t="s">
        <v>1268</v>
      </c>
      <c r="Q26" s="25" t="s">
        <v>1413</v>
      </c>
      <c r="R26" s="26">
        <v>0.89</v>
      </c>
      <c r="S26" s="25" t="s">
        <v>1409</v>
      </c>
      <c r="T26" s="25" t="s">
        <v>1464</v>
      </c>
      <c r="U26" s="25">
        <v>2026</v>
      </c>
      <c r="V26" s="25">
        <v>1</v>
      </c>
      <c r="W26" s="25">
        <v>2</v>
      </c>
      <c r="X26" s="25">
        <v>0</v>
      </c>
      <c r="Y26" s="27">
        <v>46230</v>
      </c>
      <c r="Z26" s="24" t="s">
        <v>1463</v>
      </c>
    </row>
    <row r="27" spans="1:26" ht="42" x14ac:dyDescent="0.15">
      <c r="A27" t="s">
        <v>363</v>
      </c>
      <c r="B27" t="s">
        <v>364</v>
      </c>
      <c r="C27">
        <v>2024</v>
      </c>
      <c r="D27" t="s">
        <v>25</v>
      </c>
      <c r="E27" t="s">
        <v>321</v>
      </c>
      <c r="F27" t="s">
        <v>17</v>
      </c>
      <c r="G27">
        <v>78</v>
      </c>
      <c r="H27" t="s">
        <v>366</v>
      </c>
      <c r="I27" t="str">
        <f>VLOOKUP($D27,Scopus!$A$2:$K$49,3,FALSE)</f>
        <v>91.0%
31/351
General Engineering</v>
      </c>
      <c r="J27" t="str">
        <f>VLOOKUP($D27,Scopus!$A$2:$K$49,10,FALSE)</f>
        <v>Q1</v>
      </c>
      <c r="K27" t="str">
        <f>VLOOKUP($D27,Scopus!$A$2:$K$49,11,FALSE)</f>
        <v>2169-3536</v>
      </c>
      <c r="L27" t="e">
        <f t="shared" si="0"/>
        <v>#N/A</v>
      </c>
      <c r="M27" s="24" t="s">
        <v>1465</v>
      </c>
      <c r="N27" s="25" t="s">
        <v>1466</v>
      </c>
      <c r="O27" s="25" t="s">
        <v>549</v>
      </c>
      <c r="P27" s="25" t="s">
        <v>1005</v>
      </c>
      <c r="Q27" s="25" t="s">
        <v>1413</v>
      </c>
      <c r="R27" s="26">
        <v>0.9</v>
      </c>
      <c r="S27" s="25" t="s">
        <v>1409</v>
      </c>
      <c r="T27" s="25" t="s">
        <v>1460</v>
      </c>
      <c r="U27" s="25">
        <v>2026</v>
      </c>
      <c r="V27" s="25">
        <v>0</v>
      </c>
      <c r="W27" s="25">
        <v>1</v>
      </c>
      <c r="X27" s="25">
        <v>1</v>
      </c>
      <c r="Y27" s="27">
        <v>46230</v>
      </c>
      <c r="Z27" s="24" t="s">
        <v>1465</v>
      </c>
    </row>
    <row r="28" spans="1:26" ht="42" x14ac:dyDescent="0.15">
      <c r="A28" t="s">
        <v>1206</v>
      </c>
      <c r="B28" t="s">
        <v>1207</v>
      </c>
      <c r="C28">
        <v>2024</v>
      </c>
      <c r="D28" t="s">
        <v>25</v>
      </c>
      <c r="E28" t="s">
        <v>1053</v>
      </c>
      <c r="F28" t="s">
        <v>17</v>
      </c>
      <c r="G28">
        <v>76</v>
      </c>
      <c r="H28" t="s">
        <v>1209</v>
      </c>
      <c r="I28" t="str">
        <f>VLOOKUP($D28,Scopus!$A$2:$K$49,3,FALSE)</f>
        <v>91.0%
31/351
General Engineering</v>
      </c>
      <c r="J28" t="str">
        <f>VLOOKUP($D28,Scopus!$A$2:$K$49,10,FALSE)</f>
        <v>Q1</v>
      </c>
      <c r="K28" t="str">
        <f>VLOOKUP($D28,Scopus!$A$2:$K$49,11,FALSE)</f>
        <v>2169-3536</v>
      </c>
      <c r="L28" t="e">
        <f t="shared" si="0"/>
        <v>#N/A</v>
      </c>
      <c r="M28" s="24" t="s">
        <v>1467</v>
      </c>
      <c r="N28" s="25" t="s">
        <v>1347</v>
      </c>
      <c r="O28" s="25" t="s">
        <v>1468</v>
      </c>
      <c r="P28" s="25" t="s">
        <v>1350</v>
      </c>
      <c r="Q28" s="25" t="s">
        <v>1413</v>
      </c>
      <c r="R28" s="26">
        <v>0.97</v>
      </c>
      <c r="S28" s="25" t="s">
        <v>1409</v>
      </c>
      <c r="T28" s="25" t="s">
        <v>1469</v>
      </c>
      <c r="U28" s="25">
        <v>2026</v>
      </c>
      <c r="V28" s="25">
        <v>3</v>
      </c>
      <c r="W28" s="25">
        <v>3</v>
      </c>
      <c r="X28" s="25">
        <v>2</v>
      </c>
      <c r="Y28" s="27">
        <v>46230</v>
      </c>
      <c r="Z28" s="24" t="s">
        <v>1467</v>
      </c>
    </row>
    <row r="29" spans="1:26" ht="42" x14ac:dyDescent="0.15">
      <c r="A29" t="s">
        <v>843</v>
      </c>
      <c r="B29" t="s">
        <v>844</v>
      </c>
      <c r="C29">
        <v>2025</v>
      </c>
      <c r="D29" t="s">
        <v>25</v>
      </c>
      <c r="E29" t="s">
        <v>640</v>
      </c>
      <c r="F29" t="s">
        <v>32</v>
      </c>
      <c r="G29">
        <v>65</v>
      </c>
      <c r="H29" t="s">
        <v>846</v>
      </c>
      <c r="I29" t="str">
        <f>VLOOKUP($D29,Scopus!$A$2:$K$49,3,FALSE)</f>
        <v>91.0%
31/351
General Engineering</v>
      </c>
      <c r="J29" t="str">
        <f>VLOOKUP($D29,Scopus!$A$2:$K$49,10,FALSE)</f>
        <v>Q1</v>
      </c>
      <c r="K29" t="str">
        <f>VLOOKUP($D29,Scopus!$A$2:$K$49,11,FALSE)</f>
        <v>2169-3536</v>
      </c>
      <c r="L29" t="e">
        <f t="shared" si="0"/>
        <v>#N/A</v>
      </c>
      <c r="M29" s="24" t="s">
        <v>1470</v>
      </c>
      <c r="N29" s="25" t="s">
        <v>1471</v>
      </c>
      <c r="O29" s="25" t="s">
        <v>25</v>
      </c>
      <c r="P29" s="25" t="s">
        <v>1118</v>
      </c>
      <c r="Q29" s="25" t="s">
        <v>1413</v>
      </c>
      <c r="R29" s="26">
        <v>0.9</v>
      </c>
      <c r="S29" s="25" t="s">
        <v>1409</v>
      </c>
      <c r="T29" s="25" t="s">
        <v>1426</v>
      </c>
      <c r="U29" s="25">
        <v>2025</v>
      </c>
      <c r="V29" s="25">
        <v>10</v>
      </c>
      <c r="W29" s="25">
        <v>16</v>
      </c>
      <c r="X29" s="25">
        <v>18</v>
      </c>
      <c r="Y29" s="27">
        <v>46230</v>
      </c>
      <c r="Z29" s="24" t="s">
        <v>1470</v>
      </c>
    </row>
    <row r="30" spans="1:26" ht="42" x14ac:dyDescent="0.15">
      <c r="A30" t="s">
        <v>271</v>
      </c>
      <c r="B30" t="s">
        <v>272</v>
      </c>
      <c r="C30">
        <v>2025</v>
      </c>
      <c r="D30" t="s">
        <v>25</v>
      </c>
      <c r="E30" t="s">
        <v>237</v>
      </c>
      <c r="F30" t="s">
        <v>32</v>
      </c>
      <c r="G30">
        <v>34</v>
      </c>
      <c r="H30" t="s">
        <v>274</v>
      </c>
      <c r="I30" t="str">
        <f>VLOOKUP($D30,Scopus!$A$2:$K$49,3,FALSE)</f>
        <v>91.0%
31/351
General Engineering</v>
      </c>
      <c r="J30" t="str">
        <f>VLOOKUP($D30,Scopus!$A$2:$K$49,10,FALSE)</f>
        <v>Q1</v>
      </c>
      <c r="K30" t="str">
        <f>VLOOKUP($D30,Scopus!$A$2:$K$49,11,FALSE)</f>
        <v>2169-3536</v>
      </c>
      <c r="L30" t="e">
        <f t="shared" si="0"/>
        <v>#N/A</v>
      </c>
      <c r="M30" s="24" t="s">
        <v>1472</v>
      </c>
      <c r="N30" s="25" t="s">
        <v>740</v>
      </c>
      <c r="O30" s="25" t="s">
        <v>1473</v>
      </c>
      <c r="P30" s="25" t="s">
        <v>743</v>
      </c>
      <c r="Q30" s="25" t="s">
        <v>1408</v>
      </c>
      <c r="R30" s="26">
        <v>0.87</v>
      </c>
      <c r="S30" s="25" t="s">
        <v>1409</v>
      </c>
      <c r="T30" s="25" t="s">
        <v>1474</v>
      </c>
      <c r="U30" s="25">
        <v>2025</v>
      </c>
      <c r="V30" s="25">
        <v>5</v>
      </c>
      <c r="W30" s="25">
        <v>5</v>
      </c>
      <c r="X30" s="25">
        <v>7</v>
      </c>
      <c r="Y30" s="27">
        <v>46230</v>
      </c>
      <c r="Z30" s="24" t="s">
        <v>1472</v>
      </c>
    </row>
    <row r="31" spans="1:26" ht="42" x14ac:dyDescent="0.15">
      <c r="A31" t="s">
        <v>79</v>
      </c>
      <c r="B31" t="s">
        <v>80</v>
      </c>
      <c r="C31">
        <v>2021</v>
      </c>
      <c r="D31" t="s">
        <v>25</v>
      </c>
      <c r="E31" t="s">
        <v>16</v>
      </c>
      <c r="F31" t="s">
        <v>32</v>
      </c>
      <c r="G31">
        <v>32</v>
      </c>
      <c r="H31" t="s">
        <v>82</v>
      </c>
      <c r="I31" t="str">
        <f>VLOOKUP($D31,Scopus!$A$2:$K$49,3,FALSE)</f>
        <v>91.0%
31/351
General Engineering</v>
      </c>
      <c r="J31" t="str">
        <f>VLOOKUP($D31,Scopus!$A$2:$K$49,10,FALSE)</f>
        <v>Q1</v>
      </c>
      <c r="K31" t="str">
        <f>VLOOKUP($D31,Scopus!$A$2:$K$49,11,FALSE)</f>
        <v>2169-3536</v>
      </c>
      <c r="L31" t="e">
        <f t="shared" si="0"/>
        <v>#N/A</v>
      </c>
      <c r="M31" s="24" t="s">
        <v>1475</v>
      </c>
      <c r="N31" s="25" t="s">
        <v>1476</v>
      </c>
      <c r="O31" s="25" t="s">
        <v>1303</v>
      </c>
      <c r="P31" s="25" t="s">
        <v>1304</v>
      </c>
      <c r="Q31" s="25" t="s">
        <v>1408</v>
      </c>
      <c r="R31" s="26">
        <v>0.86</v>
      </c>
      <c r="S31" s="25" t="s">
        <v>1409</v>
      </c>
      <c r="T31" s="25" t="s">
        <v>1477</v>
      </c>
      <c r="U31" s="25">
        <v>2026</v>
      </c>
      <c r="V31" s="25">
        <v>0</v>
      </c>
      <c r="W31" s="25">
        <v>1</v>
      </c>
      <c r="X31" s="25">
        <v>0</v>
      </c>
      <c r="Y31" s="27">
        <v>46230</v>
      </c>
      <c r="Z31" s="24" t="s">
        <v>1475</v>
      </c>
    </row>
    <row r="32" spans="1:26" ht="42" x14ac:dyDescent="0.15">
      <c r="A32" t="s">
        <v>1115</v>
      </c>
      <c r="B32" t="s">
        <v>1116</v>
      </c>
      <c r="C32">
        <v>2025</v>
      </c>
      <c r="D32" t="s">
        <v>25</v>
      </c>
      <c r="E32" t="s">
        <v>1053</v>
      </c>
      <c r="F32" t="s">
        <v>75</v>
      </c>
      <c r="G32">
        <v>15</v>
      </c>
      <c r="H32" t="s">
        <v>1118</v>
      </c>
      <c r="I32" t="str">
        <f>VLOOKUP($D32,Scopus!$A$2:$K$49,3,FALSE)</f>
        <v>91.0%
31/351
General Engineering</v>
      </c>
      <c r="J32" t="str">
        <f>VLOOKUP($D32,Scopus!$A$2:$K$49,10,FALSE)</f>
        <v>Q1</v>
      </c>
      <c r="K32" t="str">
        <f>VLOOKUP($D32,Scopus!$A$2:$K$49,11,FALSE)</f>
        <v>2169-3536</v>
      </c>
      <c r="L32" t="e">
        <f t="shared" si="0"/>
        <v>#N/A</v>
      </c>
      <c r="M32" s="24" t="s">
        <v>1478</v>
      </c>
      <c r="N32" s="25" t="s">
        <v>1343</v>
      </c>
      <c r="O32" s="25" t="s">
        <v>268</v>
      </c>
      <c r="P32" s="25" t="s">
        <v>1345</v>
      </c>
      <c r="Q32" s="25" t="s">
        <v>1408</v>
      </c>
      <c r="R32" s="26">
        <v>0.76</v>
      </c>
      <c r="S32" s="25" t="s">
        <v>1417</v>
      </c>
      <c r="T32" s="25" t="s">
        <v>1479</v>
      </c>
      <c r="U32" s="25">
        <v>2025</v>
      </c>
      <c r="V32" s="25">
        <v>8</v>
      </c>
      <c r="W32" s="25">
        <v>10</v>
      </c>
      <c r="X32" s="25">
        <v>13</v>
      </c>
      <c r="Y32" s="27">
        <v>46230</v>
      </c>
      <c r="Z32" s="24" t="s">
        <v>1478</v>
      </c>
    </row>
    <row r="33" spans="1:26" ht="42" x14ac:dyDescent="0.15">
      <c r="A33" t="s">
        <v>748</v>
      </c>
      <c r="B33" t="s">
        <v>749</v>
      </c>
      <c r="C33">
        <v>2025</v>
      </c>
      <c r="D33" t="s">
        <v>25</v>
      </c>
      <c r="E33" t="s">
        <v>640</v>
      </c>
      <c r="F33" t="s">
        <v>75</v>
      </c>
      <c r="G33">
        <v>12</v>
      </c>
      <c r="H33" t="s">
        <v>750</v>
      </c>
      <c r="I33" t="str">
        <f>VLOOKUP($D33,Scopus!$A$2:$K$49,3,FALSE)</f>
        <v>91.0%
31/351
General Engineering</v>
      </c>
      <c r="J33" t="str">
        <f>VLOOKUP($D33,Scopus!$A$2:$K$49,10,FALSE)</f>
        <v>Q1</v>
      </c>
      <c r="K33" t="str">
        <f>VLOOKUP($D33,Scopus!$A$2:$K$49,11,FALSE)</f>
        <v>2169-3536</v>
      </c>
      <c r="L33" t="e">
        <f t="shared" si="0"/>
        <v>#N/A</v>
      </c>
      <c r="M33" s="24" t="s">
        <v>1480</v>
      </c>
      <c r="N33" s="25" t="s">
        <v>1481</v>
      </c>
      <c r="O33" s="25" t="s">
        <v>268</v>
      </c>
      <c r="P33" s="25" t="s">
        <v>1294</v>
      </c>
      <c r="Q33" s="25" t="s">
        <v>1408</v>
      </c>
      <c r="R33" s="26">
        <v>0.76</v>
      </c>
      <c r="S33" s="25" t="s">
        <v>1417</v>
      </c>
      <c r="T33" s="25" t="s">
        <v>1479</v>
      </c>
      <c r="U33" s="25">
        <v>2026</v>
      </c>
      <c r="V33" s="25">
        <v>1</v>
      </c>
      <c r="W33" s="25">
        <v>1</v>
      </c>
      <c r="X33" s="25">
        <v>1</v>
      </c>
      <c r="Y33" s="27">
        <v>46230</v>
      </c>
      <c r="Z33" s="24" t="s">
        <v>1480</v>
      </c>
    </row>
    <row r="34" spans="1:26" ht="42" x14ac:dyDescent="0.15">
      <c r="A34" t="s">
        <v>84</v>
      </c>
      <c r="B34" t="s">
        <v>85</v>
      </c>
      <c r="C34">
        <v>2020</v>
      </c>
      <c r="D34" t="s">
        <v>25</v>
      </c>
      <c r="E34" t="s">
        <v>16</v>
      </c>
      <c r="F34" t="s">
        <v>32</v>
      </c>
      <c r="G34">
        <v>10</v>
      </c>
      <c r="H34" t="s">
        <v>87</v>
      </c>
      <c r="I34" t="str">
        <f>VLOOKUP($D34,Scopus!$A$2:$K$49,3,FALSE)</f>
        <v>91.0%
31/351
General Engineering</v>
      </c>
      <c r="J34" t="str">
        <f>VLOOKUP($D34,Scopus!$A$2:$K$49,10,FALSE)</f>
        <v>Q1</v>
      </c>
      <c r="K34" t="str">
        <f>VLOOKUP($D34,Scopus!$A$2:$K$49,11,FALSE)</f>
        <v>2169-3536</v>
      </c>
      <c r="L34" t="e">
        <f t="shared" si="0"/>
        <v>#N/A</v>
      </c>
      <c r="M34" s="24" t="s">
        <v>1482</v>
      </c>
      <c r="N34" s="25" t="s">
        <v>1128</v>
      </c>
      <c r="O34" s="25" t="s">
        <v>831</v>
      </c>
      <c r="P34" s="25" t="s">
        <v>1129</v>
      </c>
      <c r="Q34" s="25" t="s">
        <v>1408</v>
      </c>
      <c r="R34" s="26">
        <v>0.77</v>
      </c>
      <c r="S34" s="25" t="s">
        <v>1409</v>
      </c>
      <c r="T34" s="25" t="s">
        <v>1410</v>
      </c>
      <c r="U34" s="25">
        <v>2025</v>
      </c>
      <c r="V34" s="25">
        <v>11</v>
      </c>
      <c r="W34" s="25">
        <v>11</v>
      </c>
      <c r="X34" s="25">
        <v>11</v>
      </c>
      <c r="Y34" s="27">
        <v>46230</v>
      </c>
      <c r="Z34" s="24" t="s">
        <v>1482</v>
      </c>
    </row>
    <row r="35" spans="1:26" ht="42" x14ac:dyDescent="0.15">
      <c r="A35" t="s">
        <v>68</v>
      </c>
      <c r="B35" t="s">
        <v>69</v>
      </c>
      <c r="C35">
        <v>2024</v>
      </c>
      <c r="D35" t="s">
        <v>25</v>
      </c>
      <c r="E35" t="s">
        <v>16</v>
      </c>
      <c r="F35" t="s">
        <v>32</v>
      </c>
      <c r="G35">
        <v>9</v>
      </c>
      <c r="H35" t="s">
        <v>71</v>
      </c>
      <c r="I35" t="str">
        <f>VLOOKUP($D35,Scopus!$A$2:$K$49,3,FALSE)</f>
        <v>91.0%
31/351
General Engineering</v>
      </c>
      <c r="J35" t="str">
        <f>VLOOKUP($D35,Scopus!$A$2:$K$49,10,FALSE)</f>
        <v>Q1</v>
      </c>
      <c r="K35" t="str">
        <f>VLOOKUP($D35,Scopus!$A$2:$K$49,11,FALSE)</f>
        <v>2169-3536</v>
      </c>
      <c r="L35" t="e">
        <f t="shared" si="0"/>
        <v>#N/A</v>
      </c>
      <c r="M35" s="24" t="s">
        <v>1483</v>
      </c>
      <c r="N35" s="25" t="s">
        <v>1120</v>
      </c>
      <c r="O35" s="25" t="s">
        <v>1122</v>
      </c>
      <c r="P35" s="25" t="s">
        <v>1123</v>
      </c>
      <c r="Q35" s="25" t="s">
        <v>1408</v>
      </c>
      <c r="R35" s="26">
        <v>0.81</v>
      </c>
      <c r="S35" s="25" t="s">
        <v>1417</v>
      </c>
      <c r="T35" s="25" t="s">
        <v>1484</v>
      </c>
      <c r="U35" s="25">
        <v>2025</v>
      </c>
      <c r="V35" s="25">
        <v>1</v>
      </c>
      <c r="W35" s="25">
        <v>2</v>
      </c>
      <c r="X35" s="25">
        <v>2</v>
      </c>
      <c r="Y35" s="27">
        <v>46230</v>
      </c>
      <c r="Z35" s="24" t="s">
        <v>1483</v>
      </c>
    </row>
    <row r="36" spans="1:26" ht="42" x14ac:dyDescent="0.15">
      <c r="A36" t="s">
        <v>23</v>
      </c>
      <c r="B36" t="s">
        <v>24</v>
      </c>
      <c r="C36">
        <v>2026</v>
      </c>
      <c r="D36" t="s">
        <v>25</v>
      </c>
      <c r="E36" t="s">
        <v>16</v>
      </c>
      <c r="F36" t="s">
        <v>17</v>
      </c>
      <c r="G36">
        <v>7</v>
      </c>
      <c r="H36" t="s">
        <v>27</v>
      </c>
      <c r="I36" t="str">
        <f>VLOOKUP($D36,Scopus!$A$2:$K$49,3,FALSE)</f>
        <v>91.0%
31/351
General Engineering</v>
      </c>
      <c r="J36" t="str">
        <f>VLOOKUP($D36,Scopus!$A$2:$K$49,10,FALSE)</f>
        <v>Q1</v>
      </c>
      <c r="K36" t="str">
        <f>VLOOKUP($D36,Scopus!$A$2:$K$49,11,FALSE)</f>
        <v>2169-3536</v>
      </c>
      <c r="L36" t="e">
        <f t="shared" si="0"/>
        <v>#N/A</v>
      </c>
      <c r="M36" s="24" t="s">
        <v>1485</v>
      </c>
      <c r="N36" s="25" t="s">
        <v>1296</v>
      </c>
      <c r="O36" s="25" t="s">
        <v>1486</v>
      </c>
      <c r="P36" s="25" t="s">
        <v>1299</v>
      </c>
      <c r="Q36" s="25" t="s">
        <v>1408</v>
      </c>
      <c r="R36" s="26">
        <v>0.86</v>
      </c>
      <c r="S36" s="25" t="s">
        <v>1417</v>
      </c>
      <c r="T36" s="25" t="s">
        <v>1487</v>
      </c>
      <c r="U36" s="25">
        <v>2026</v>
      </c>
      <c r="V36" s="25">
        <v>0</v>
      </c>
      <c r="W36" s="25">
        <v>0</v>
      </c>
      <c r="X36" s="25">
        <v>0</v>
      </c>
      <c r="Y36" s="27">
        <v>46230</v>
      </c>
      <c r="Z36" s="24" t="s">
        <v>1485</v>
      </c>
    </row>
    <row r="37" spans="1:26" ht="42" x14ac:dyDescent="0.15">
      <c r="A37" t="s">
        <v>43</v>
      </c>
      <c r="B37" t="s">
        <v>44</v>
      </c>
      <c r="C37">
        <v>2025</v>
      </c>
      <c r="D37" t="s">
        <v>25</v>
      </c>
      <c r="E37" t="s">
        <v>16</v>
      </c>
      <c r="F37" t="s">
        <v>32</v>
      </c>
      <c r="G37">
        <v>3</v>
      </c>
      <c r="H37" t="s">
        <v>46</v>
      </c>
      <c r="I37" t="str">
        <f>VLOOKUP($D37,Scopus!$A$2:$K$49,3,FALSE)</f>
        <v>91.0%
31/351
General Engineering</v>
      </c>
      <c r="J37" t="str">
        <f>VLOOKUP($D37,Scopus!$A$2:$K$49,10,FALSE)</f>
        <v>Q1</v>
      </c>
      <c r="K37" t="str">
        <f>VLOOKUP($D37,Scopus!$A$2:$K$49,11,FALSE)</f>
        <v>2169-3536</v>
      </c>
      <c r="L37" t="e">
        <f t="shared" si="0"/>
        <v>#N/A</v>
      </c>
      <c r="M37" s="24" t="s">
        <v>1488</v>
      </c>
      <c r="N37" s="25" t="s">
        <v>1285</v>
      </c>
      <c r="O37" s="25" t="s">
        <v>1192</v>
      </c>
      <c r="P37" s="25" t="s">
        <v>1287</v>
      </c>
      <c r="Q37" s="25" t="s">
        <v>1408</v>
      </c>
      <c r="R37" s="26">
        <v>0.78</v>
      </c>
      <c r="S37" s="25" t="s">
        <v>1417</v>
      </c>
      <c r="T37" s="25" t="s">
        <v>1418</v>
      </c>
      <c r="U37" s="25">
        <v>2026</v>
      </c>
      <c r="V37" s="25">
        <v>5</v>
      </c>
      <c r="W37" s="25">
        <v>5</v>
      </c>
      <c r="X37" s="25">
        <v>2</v>
      </c>
      <c r="Y37" s="27">
        <v>46230</v>
      </c>
      <c r="Z37" s="24" t="s">
        <v>1488</v>
      </c>
    </row>
    <row r="38" spans="1:26" ht="42" x14ac:dyDescent="0.15">
      <c r="A38" t="s">
        <v>60</v>
      </c>
      <c r="B38" t="s">
        <v>61</v>
      </c>
      <c r="C38">
        <v>2025</v>
      </c>
      <c r="D38" t="s">
        <v>25</v>
      </c>
      <c r="E38" t="s">
        <v>16</v>
      </c>
      <c r="F38" t="s">
        <v>32</v>
      </c>
      <c r="G38">
        <v>0</v>
      </c>
      <c r="H38" t="s">
        <v>63</v>
      </c>
      <c r="I38" t="str">
        <f>VLOOKUP($D38,Scopus!$A$2:$K$49,3,FALSE)</f>
        <v>91.0%
31/351
General Engineering</v>
      </c>
      <c r="J38" t="str">
        <f>VLOOKUP($D38,Scopus!$A$2:$K$49,10,FALSE)</f>
        <v>Q1</v>
      </c>
      <c r="K38" t="str">
        <f>VLOOKUP($D38,Scopus!$A$2:$K$49,11,FALSE)</f>
        <v>2169-3536</v>
      </c>
      <c r="L38" t="e">
        <f t="shared" si="0"/>
        <v>#N/A</v>
      </c>
      <c r="M38" s="24" t="s">
        <v>1489</v>
      </c>
      <c r="N38" s="25" t="s">
        <v>1490</v>
      </c>
      <c r="O38" s="25" t="s">
        <v>268</v>
      </c>
      <c r="P38" s="25" t="s">
        <v>269</v>
      </c>
      <c r="Q38" s="25" t="s">
        <v>1408</v>
      </c>
      <c r="R38" s="26">
        <v>0.76</v>
      </c>
      <c r="S38" s="25" t="s">
        <v>1417</v>
      </c>
      <c r="T38" s="25" t="s">
        <v>1479</v>
      </c>
      <c r="U38" s="25">
        <v>2025</v>
      </c>
      <c r="V38" s="25">
        <v>0</v>
      </c>
      <c r="W38" s="25">
        <v>0</v>
      </c>
      <c r="X38" s="25">
        <v>1</v>
      </c>
      <c r="Y38" s="27">
        <v>46230</v>
      </c>
      <c r="Z38" s="24" t="s">
        <v>1489</v>
      </c>
    </row>
    <row r="39" spans="1:26" ht="42" x14ac:dyDescent="0.15">
      <c r="A39" t="s">
        <v>853</v>
      </c>
      <c r="B39" t="s">
        <v>854</v>
      </c>
      <c r="C39">
        <v>2025</v>
      </c>
      <c r="D39" t="s">
        <v>855</v>
      </c>
      <c r="E39" t="s">
        <v>640</v>
      </c>
      <c r="F39" t="s">
        <v>32</v>
      </c>
      <c r="G39">
        <v>216</v>
      </c>
      <c r="H39" t="s">
        <v>857</v>
      </c>
      <c r="I39" t="str">
        <f>VLOOKUP($D39,Scopus!$A$2:$K$49,3,FALSE)</f>
        <v>86.0%
32/241
General Computer Science</v>
      </c>
      <c r="J39" t="str">
        <f>VLOOKUP($D39,Scopus!$A$2:$K$49,10,FALSE)</f>
        <v>Q1</v>
      </c>
      <c r="K39" t="str">
        <f>VLOOKUP($D39,Scopus!$A$2:$K$49,11,FALSE)</f>
        <v>2590-0056</v>
      </c>
      <c r="L39" t="e">
        <f t="shared" si="0"/>
        <v>#N/A</v>
      </c>
      <c r="M39" s="24" t="s">
        <v>1491</v>
      </c>
      <c r="N39" s="25" t="s">
        <v>1185</v>
      </c>
      <c r="O39" s="25" t="s">
        <v>1492</v>
      </c>
      <c r="P39" s="25" t="s">
        <v>1188</v>
      </c>
      <c r="Q39" s="25" t="s">
        <v>1493</v>
      </c>
      <c r="R39" s="26">
        <v>0.65</v>
      </c>
      <c r="S39" s="25" t="s">
        <v>1417</v>
      </c>
      <c r="T39" s="25" t="s">
        <v>1494</v>
      </c>
      <c r="U39" s="25">
        <v>2025</v>
      </c>
      <c r="V39" s="25">
        <v>6</v>
      </c>
      <c r="W39" s="25">
        <v>8</v>
      </c>
      <c r="X39" s="25">
        <v>8</v>
      </c>
      <c r="Y39" s="27">
        <v>46230</v>
      </c>
      <c r="Z39" s="24" t="s">
        <v>1491</v>
      </c>
    </row>
    <row r="40" spans="1:26" ht="42" x14ac:dyDescent="0.15">
      <c r="A40" t="s">
        <v>226</v>
      </c>
      <c r="B40" t="s">
        <v>227</v>
      </c>
      <c r="C40">
        <v>2020</v>
      </c>
      <c r="D40" t="s">
        <v>228</v>
      </c>
      <c r="E40" t="s">
        <v>155</v>
      </c>
      <c r="F40" t="s">
        <v>32</v>
      </c>
      <c r="G40">
        <v>401</v>
      </c>
      <c r="H40" t="s">
        <v>230</v>
      </c>
      <c r="I40" t="str">
        <f>VLOOKUP($D40,Scopus!$A$2:$K$49,3,FALSE)</f>
        <v>98.0%
10/519
Information Systems</v>
      </c>
      <c r="J40" t="str">
        <f>VLOOKUP($D40,Scopus!$A$2:$K$49,10,FALSE)</f>
        <v>Q1</v>
      </c>
      <c r="K40" t="str">
        <f>VLOOKUP($D40,Scopus!$A$2:$K$49,11,FALSE)</f>
        <v>1551-3203</v>
      </c>
      <c r="L40" t="e">
        <f t="shared" si="0"/>
        <v>#N/A</v>
      </c>
      <c r="M40" s="24" t="s">
        <v>1495</v>
      </c>
      <c r="N40" s="25" t="s">
        <v>1496</v>
      </c>
      <c r="O40" s="25" t="s">
        <v>725</v>
      </c>
      <c r="P40" s="25" t="s">
        <v>727</v>
      </c>
      <c r="Q40" s="25" t="s">
        <v>1493</v>
      </c>
      <c r="R40" s="26">
        <v>0.68</v>
      </c>
      <c r="S40" s="25" t="s">
        <v>1417</v>
      </c>
      <c r="T40" s="25" t="s">
        <v>1497</v>
      </c>
      <c r="U40" s="25">
        <v>2025</v>
      </c>
      <c r="V40" s="25">
        <v>11</v>
      </c>
      <c r="W40" s="25">
        <v>13</v>
      </c>
      <c r="X40" s="25">
        <v>7</v>
      </c>
      <c r="Y40" s="27">
        <v>46230</v>
      </c>
      <c r="Z40" s="24" t="s">
        <v>1495</v>
      </c>
    </row>
    <row r="41" spans="1:26" ht="42" x14ac:dyDescent="0.15">
      <c r="A41" t="s">
        <v>358</v>
      </c>
      <c r="B41" t="s">
        <v>359</v>
      </c>
      <c r="C41">
        <v>2024</v>
      </c>
      <c r="D41" t="s">
        <v>126</v>
      </c>
      <c r="E41" t="s">
        <v>321</v>
      </c>
      <c r="F41" t="s">
        <v>17</v>
      </c>
      <c r="G41">
        <v>396</v>
      </c>
      <c r="H41" t="s">
        <v>361</v>
      </c>
      <c r="I41" t="str">
        <f>VLOOKUP($D41,Scopus!$A$2:$K$49,3,FALSE)</f>
        <v>82.0%
18/99
Fluid Flow and Transfer Processes</v>
      </c>
      <c r="J41" t="str">
        <f>VLOOKUP($D41,Scopus!$A$2:$K$49,10,FALSE)</f>
        <v>Q2</v>
      </c>
      <c r="K41" t="str">
        <f>VLOOKUP($D41,Scopus!$A$2:$K$49,11,FALSE)</f>
        <v>2076-3417</v>
      </c>
      <c r="L41" t="e">
        <f t="shared" si="0"/>
        <v>#N/A</v>
      </c>
    </row>
    <row r="42" spans="1:26" ht="42" x14ac:dyDescent="0.15">
      <c r="A42" t="s">
        <v>375</v>
      </c>
      <c r="B42" t="s">
        <v>376</v>
      </c>
      <c r="C42">
        <v>2024</v>
      </c>
      <c r="D42" t="s">
        <v>377</v>
      </c>
      <c r="E42" t="s">
        <v>321</v>
      </c>
      <c r="F42" t="s">
        <v>17</v>
      </c>
      <c r="G42">
        <v>389</v>
      </c>
      <c r="H42" t="s">
        <v>379</v>
      </c>
      <c r="I42" t="str">
        <f>VLOOKUP($D42,Scopus!$A$2:$K$49,3,FALSE)</f>
        <v>99.0%
2/397
Modeling and Simulation</v>
      </c>
      <c r="J42" t="str">
        <f>VLOOKUP($D42,Scopus!$A$2:$K$49,10,FALSE)</f>
        <v>Q1</v>
      </c>
      <c r="K42" t="str">
        <f>VLOOKUP($D42,Scopus!$A$2:$K$49,11,FALSE)</f>
        <v>2731-538X</v>
      </c>
      <c r="L42" t="e">
        <f t="shared" si="0"/>
        <v>#N/A</v>
      </c>
    </row>
    <row r="43" spans="1:26" ht="42" x14ac:dyDescent="0.15">
      <c r="A43" t="s">
        <v>536</v>
      </c>
      <c r="B43" t="s">
        <v>537</v>
      </c>
      <c r="C43">
        <v>2020</v>
      </c>
      <c r="D43" s="31" t="s">
        <v>1615</v>
      </c>
      <c r="E43" t="s">
        <v>321</v>
      </c>
      <c r="F43" t="s">
        <v>75</v>
      </c>
      <c r="G43">
        <v>315</v>
      </c>
      <c r="H43" t="s">
        <v>540</v>
      </c>
      <c r="I43" t="str">
        <f>VLOOKUP($D43,Scopus!$A$2:$K$49,3,FALSE)</f>
        <v>93.0%
7/97
Nuclear and High Energy Physics</v>
      </c>
      <c r="J43" t="str">
        <f>VLOOKUP($D43,Scopus!$A$2:$K$49,10,FALSE)</f>
        <v>Q1</v>
      </c>
      <c r="K43" t="str">
        <f>VLOOKUP($D43,Scopus!$A$2:$K$49,11,FALSE)</f>
        <v>2470-0010</v>
      </c>
      <c r="L43" t="e">
        <f t="shared" si="0"/>
        <v>#N/A</v>
      </c>
    </row>
    <row r="44" spans="1:26" ht="42" x14ac:dyDescent="0.15">
      <c r="A44" t="s">
        <v>418</v>
      </c>
      <c r="B44" t="s">
        <v>419</v>
      </c>
      <c r="C44">
        <v>2023</v>
      </c>
      <c r="D44" t="s">
        <v>420</v>
      </c>
      <c r="E44" t="s">
        <v>321</v>
      </c>
      <c r="F44" t="s">
        <v>17</v>
      </c>
      <c r="G44">
        <v>264</v>
      </c>
      <c r="H44" t="s">
        <v>422</v>
      </c>
      <c r="I44" t="str">
        <f>VLOOKUP($D44,Scopus!$A$2:$K$49,3,FALSE)</f>
        <v>91.0%
19/206
Instrumentation</v>
      </c>
      <c r="J44" t="str">
        <f>VLOOKUP($D44,Scopus!$A$2:$K$49,10,FALSE)</f>
        <v>Q1</v>
      </c>
      <c r="K44" t="str">
        <f>VLOOKUP($D44,Scopus!$A$2:$K$49,11,FALSE)</f>
        <v>1424-8220</v>
      </c>
      <c r="L44" t="e">
        <f t="shared" si="0"/>
        <v>#N/A</v>
      </c>
    </row>
    <row r="45" spans="1:26" ht="42" x14ac:dyDescent="0.15">
      <c r="A45" t="s">
        <v>465</v>
      </c>
      <c r="B45" t="s">
        <v>466</v>
      </c>
      <c r="C45">
        <v>2022</v>
      </c>
      <c r="D45" t="s">
        <v>467</v>
      </c>
      <c r="E45" t="s">
        <v>321</v>
      </c>
      <c r="F45" t="s">
        <v>75</v>
      </c>
      <c r="G45">
        <v>247</v>
      </c>
      <c r="H45" t="s">
        <v>469</v>
      </c>
      <c r="I45" t="str">
        <f>VLOOKUP($D45,Scopus!$A$2:$K$49,3,FALSE)</f>
        <v>96.0%
17/503
Software</v>
      </c>
      <c r="J45" t="str">
        <f>VLOOKUP($D45,Scopus!$A$2:$K$49,10,FALSE)</f>
        <v>Q1</v>
      </c>
      <c r="K45" t="str">
        <f>VLOOKUP($D45,Scopus!$A$2:$K$49,11,FALSE)</f>
        <v>0956-5515</v>
      </c>
      <c r="L45" t="e">
        <f t="shared" si="0"/>
        <v>#N/A</v>
      </c>
    </row>
    <row r="46" spans="1:26" ht="42" x14ac:dyDescent="0.15">
      <c r="A46" t="s">
        <v>625</v>
      </c>
      <c r="B46" t="s">
        <v>626</v>
      </c>
      <c r="C46">
        <v>2020</v>
      </c>
      <c r="D46" t="s">
        <v>559</v>
      </c>
      <c r="E46" t="s">
        <v>599</v>
      </c>
      <c r="F46" t="s">
        <v>17</v>
      </c>
      <c r="G46">
        <v>245</v>
      </c>
      <c r="H46" t="s">
        <v>628</v>
      </c>
      <c r="I46" t="str">
        <f>VLOOKUP($D46,Scopus!$A$2:$K$49,3,FALSE)</f>
        <v>74.0%
29/112
General Neuroscience</v>
      </c>
      <c r="J46" t="str">
        <f>VLOOKUP($D46,Scopus!$A$2:$K$49,10,FALSE)</f>
        <v>Q2</v>
      </c>
      <c r="K46" t="str">
        <f>VLOOKUP($D46,Scopus!$A$2:$K$49,11,FALSE)</f>
        <v>1662-453X</v>
      </c>
      <c r="L46" t="e">
        <f t="shared" si="0"/>
        <v>#N/A</v>
      </c>
    </row>
    <row r="47" spans="1:26" ht="42" x14ac:dyDescent="0.15">
      <c r="A47" t="s">
        <v>297</v>
      </c>
      <c r="B47" t="s">
        <v>298</v>
      </c>
      <c r="C47">
        <v>2021</v>
      </c>
      <c r="D47" t="s">
        <v>299</v>
      </c>
      <c r="E47" t="s">
        <v>237</v>
      </c>
      <c r="F47" t="s">
        <v>32</v>
      </c>
      <c r="G47">
        <v>233</v>
      </c>
      <c r="H47" t="s">
        <v>301</v>
      </c>
      <c r="I47" t="str">
        <f>VLOOKUP($D47,Scopus!$A$2:$K$49,3,FALSE)</f>
        <v>92.0%
24/296
Library and Information Sciences</v>
      </c>
      <c r="J47" t="str">
        <f>VLOOKUP($D47,Scopus!$A$2:$K$49,10,FALSE)</f>
        <v>Q2</v>
      </c>
      <c r="K47" t="str">
        <f>VLOOKUP($D47,Scopus!$A$2:$K$49,11,FALSE)</f>
        <v>1617-4909</v>
      </c>
      <c r="L47" t="e">
        <f t="shared" si="0"/>
        <v>#N/A</v>
      </c>
    </row>
    <row r="48" spans="1:26" ht="42" x14ac:dyDescent="0.15">
      <c r="A48" t="s">
        <v>487</v>
      </c>
      <c r="B48" t="s">
        <v>488</v>
      </c>
      <c r="C48">
        <v>2021</v>
      </c>
      <c r="D48" t="s">
        <v>126</v>
      </c>
      <c r="E48" t="s">
        <v>321</v>
      </c>
      <c r="F48" t="s">
        <v>17</v>
      </c>
      <c r="G48">
        <v>202</v>
      </c>
      <c r="H48" t="s">
        <v>490</v>
      </c>
      <c r="I48" t="str">
        <f>VLOOKUP($D48,Scopus!$A$2:$K$49,3,FALSE)</f>
        <v>82.0%
18/99
Fluid Flow and Transfer Processes</v>
      </c>
      <c r="J48" t="str">
        <f>VLOOKUP($D48,Scopus!$A$2:$K$49,10,FALSE)</f>
        <v>Q2</v>
      </c>
      <c r="K48" t="str">
        <f>VLOOKUP($D48,Scopus!$A$2:$K$49,11,FALSE)</f>
        <v>2076-3417</v>
      </c>
      <c r="L48" t="e">
        <f t="shared" si="0"/>
        <v>#N/A</v>
      </c>
    </row>
    <row r="49" spans="1:12" ht="42" x14ac:dyDescent="0.15">
      <c r="A49" t="s">
        <v>406</v>
      </c>
      <c r="B49" t="s">
        <v>407</v>
      </c>
      <c r="C49">
        <v>2023</v>
      </c>
      <c r="D49" t="s">
        <v>408</v>
      </c>
      <c r="E49" t="s">
        <v>321</v>
      </c>
      <c r="F49" t="s">
        <v>17</v>
      </c>
      <c r="G49">
        <v>194</v>
      </c>
      <c r="H49" t="s">
        <v>410</v>
      </c>
      <c r="I49" t="str">
        <f>VLOOKUP($D49,Scopus!$A$2:$K$49,3,FALSE)</f>
        <v>93.0%
13/203
Computational Theory and Mathematics</v>
      </c>
      <c r="J49" t="str">
        <f>VLOOKUP($D49,Scopus!$A$2:$K$49,10,FALSE)</f>
        <v>Q1</v>
      </c>
      <c r="K49" t="str">
        <f>VLOOKUP($D49,Scopus!$A$2:$K$49,11,FALSE)</f>
        <v>2666-8270</v>
      </c>
      <c r="L49" t="e">
        <f t="shared" si="0"/>
        <v>#N/A</v>
      </c>
    </row>
    <row r="50" spans="1:12" ht="42" x14ac:dyDescent="0.15">
      <c r="A50" t="s">
        <v>1236</v>
      </c>
      <c r="B50" t="s">
        <v>1237</v>
      </c>
      <c r="C50">
        <v>2022</v>
      </c>
      <c r="D50" s="31" t="s">
        <v>1527</v>
      </c>
      <c r="E50" t="s">
        <v>1053</v>
      </c>
      <c r="F50" t="s">
        <v>32</v>
      </c>
      <c r="G50">
        <v>176</v>
      </c>
      <c r="H50" t="s">
        <v>1240</v>
      </c>
      <c r="I50" t="str">
        <f>VLOOKUP($D50,Scopus!$A$2:$K$49,3,FALSE)</f>
        <v>99.0%
1/1030
Electrical and Electronic Engineering</v>
      </c>
      <c r="J50" t="str">
        <f>VLOOKUP($D50,Scopus!$A$2:$K$49,10,FALSE)</f>
        <v>Q1</v>
      </c>
      <c r="K50" t="str">
        <f>VLOOKUP($D50,Scopus!$A$2:$K$49,11,FALSE)</f>
        <v>1553-877X</v>
      </c>
      <c r="L50" t="e">
        <f t="shared" si="0"/>
        <v>#N/A</v>
      </c>
    </row>
    <row r="51" spans="1:12" ht="42" x14ac:dyDescent="0.15">
      <c r="A51" t="s">
        <v>454</v>
      </c>
      <c r="B51" t="s">
        <v>455</v>
      </c>
      <c r="C51">
        <v>2022</v>
      </c>
      <c r="D51" t="s">
        <v>456</v>
      </c>
      <c r="E51" t="s">
        <v>321</v>
      </c>
      <c r="F51" t="s">
        <v>75</v>
      </c>
      <c r="G51">
        <v>142</v>
      </c>
      <c r="H51" t="s">
        <v>458</v>
      </c>
      <c r="I51" t="str">
        <f>VLOOKUP($D51,Scopus!$A$2:$K$49,3,FALSE)</f>
        <v>92.0%
33/414
General Mathematics</v>
      </c>
      <c r="J51" t="str">
        <f>VLOOKUP($D51,Scopus!$A$2:$K$49,10,FALSE)</f>
        <v>Q2</v>
      </c>
      <c r="K51" t="str">
        <f>VLOOKUP($D51,Scopus!$A$2:$K$49,11,FALSE)</f>
        <v>2227-7390</v>
      </c>
      <c r="L51" t="e">
        <f t="shared" si="0"/>
        <v>#N/A</v>
      </c>
    </row>
    <row r="52" spans="1:12" ht="42" x14ac:dyDescent="0.15">
      <c r="A52" t="s">
        <v>471</v>
      </c>
      <c r="B52" t="s">
        <v>472</v>
      </c>
      <c r="C52">
        <v>2022</v>
      </c>
      <c r="D52" t="s">
        <v>420</v>
      </c>
      <c r="E52" t="s">
        <v>321</v>
      </c>
      <c r="F52" t="s">
        <v>32</v>
      </c>
      <c r="G52">
        <v>124</v>
      </c>
      <c r="H52" t="s">
        <v>474</v>
      </c>
      <c r="I52" t="str">
        <f>VLOOKUP($D52,Scopus!$A$2:$K$49,3,FALSE)</f>
        <v>91.0%
19/206
Instrumentation</v>
      </c>
      <c r="J52" t="str">
        <f>VLOOKUP($D52,Scopus!$A$2:$K$49,10,FALSE)</f>
        <v>Q1</v>
      </c>
      <c r="K52" t="str">
        <f>VLOOKUP($D52,Scopus!$A$2:$K$49,11,FALSE)</f>
        <v>1424-8220</v>
      </c>
      <c r="L52" t="e">
        <f t="shared" si="0"/>
        <v>#N/A</v>
      </c>
    </row>
    <row r="53" spans="1:12" ht="42" x14ac:dyDescent="0.15">
      <c r="A53" t="s">
        <v>1036</v>
      </c>
      <c r="B53" t="s">
        <v>1037</v>
      </c>
      <c r="C53">
        <v>2021</v>
      </c>
      <c r="D53" t="s">
        <v>1038</v>
      </c>
      <c r="E53" t="s">
        <v>957</v>
      </c>
      <c r="F53" t="s">
        <v>75</v>
      </c>
      <c r="G53">
        <v>87</v>
      </c>
      <c r="H53" t="s">
        <v>1040</v>
      </c>
      <c r="I53" t="e">
        <f>VLOOKUP($D53,Scopus!$A$2:$K$49,3,FALSE)</f>
        <v>#N/A</v>
      </c>
      <c r="J53" t="e">
        <f>VLOOKUP($D53,Scopus!$A$2:$K$49,10,FALSE)</f>
        <v>#N/A</v>
      </c>
      <c r="K53" t="e">
        <f>VLOOKUP($D53,Scopus!$A$2:$K$49,11,FALSE)</f>
        <v>#N/A</v>
      </c>
      <c r="L53" t="e">
        <f t="shared" si="0"/>
        <v>#N/A</v>
      </c>
    </row>
    <row r="54" spans="1:12" ht="42" x14ac:dyDescent="0.15">
      <c r="A54" t="s">
        <v>476</v>
      </c>
      <c r="B54" t="s">
        <v>477</v>
      </c>
      <c r="C54">
        <v>2021</v>
      </c>
      <c r="D54" t="s">
        <v>143</v>
      </c>
      <c r="E54" t="s">
        <v>321</v>
      </c>
      <c r="F54" t="s">
        <v>75</v>
      </c>
      <c r="G54">
        <v>80</v>
      </c>
      <c r="H54" t="s">
        <v>479</v>
      </c>
      <c r="I54" t="str">
        <f>VLOOKUP($D54,Scopus!$A$2:$K$49,3,FALSE)</f>
        <v>95.0%
10/198
Control and Optimization</v>
      </c>
      <c r="J54" t="str">
        <f>VLOOKUP($D54,Scopus!$A$2:$K$49,10,FALSE)</f>
        <v>Q1</v>
      </c>
      <c r="K54" t="str">
        <f>VLOOKUP($D54,Scopus!$A$2:$K$49,11,FALSE)</f>
        <v>1996-1073</v>
      </c>
      <c r="L54" t="e">
        <f t="shared" si="0"/>
        <v>#N/A</v>
      </c>
    </row>
    <row r="55" spans="1:12" ht="42" x14ac:dyDescent="0.15">
      <c r="A55" t="s">
        <v>557</v>
      </c>
      <c r="B55" t="s">
        <v>558</v>
      </c>
      <c r="C55">
        <v>2020</v>
      </c>
      <c r="D55" t="s">
        <v>559</v>
      </c>
      <c r="E55" t="s">
        <v>321</v>
      </c>
      <c r="F55" t="s">
        <v>32</v>
      </c>
      <c r="G55">
        <v>71</v>
      </c>
      <c r="H55" t="s">
        <v>561</v>
      </c>
      <c r="I55" t="str">
        <f>VLOOKUP($D55,Scopus!$A$2:$K$49,3,FALSE)</f>
        <v>74.0%
29/112
General Neuroscience</v>
      </c>
      <c r="J55" t="str">
        <f>VLOOKUP($D55,Scopus!$A$2:$K$49,10,FALSE)</f>
        <v>Q2</v>
      </c>
      <c r="K55" t="str">
        <f>VLOOKUP($D55,Scopus!$A$2:$K$49,11,FALSE)</f>
        <v>1662-453X</v>
      </c>
      <c r="L55" t="e">
        <f t="shared" si="0"/>
        <v>#N/A</v>
      </c>
    </row>
    <row r="56" spans="1:12" ht="42" x14ac:dyDescent="0.15">
      <c r="A56" t="s">
        <v>530</v>
      </c>
      <c r="B56" t="s">
        <v>531</v>
      </c>
      <c r="C56">
        <v>2020</v>
      </c>
      <c r="D56" t="s">
        <v>532</v>
      </c>
      <c r="E56" t="s">
        <v>321</v>
      </c>
      <c r="F56" t="s">
        <v>75</v>
      </c>
      <c r="G56">
        <v>68</v>
      </c>
      <c r="H56" t="s">
        <v>534</v>
      </c>
      <c r="I56" t="str">
        <f>VLOOKUP($D56,Scopus!$A$2:$K$49,3,FALSE)</f>
        <v>93.0%
64/1030
Electrical and Electronic Engineering</v>
      </c>
      <c r="J56" t="str">
        <f>VLOOKUP($D56,Scopus!$A$2:$K$49,10,FALSE)</f>
        <v>Q1</v>
      </c>
      <c r="K56" t="str">
        <f>VLOOKUP($D56,Scopus!$A$2:$K$49,11,FALSE)</f>
        <v>1545-5971</v>
      </c>
      <c r="L56" t="e">
        <f t="shared" si="0"/>
        <v>#N/A</v>
      </c>
    </row>
    <row r="57" spans="1:12" ht="42" x14ac:dyDescent="0.15">
      <c r="A57" t="s">
        <v>220</v>
      </c>
      <c r="B57" t="s">
        <v>221</v>
      </c>
      <c r="C57">
        <v>2020</v>
      </c>
      <c r="D57" s="31" t="s">
        <v>222</v>
      </c>
      <c r="E57" t="s">
        <v>155</v>
      </c>
      <c r="F57" t="s">
        <v>32</v>
      </c>
      <c r="G57">
        <v>62</v>
      </c>
      <c r="H57" t="s">
        <v>224</v>
      </c>
      <c r="I57" t="str">
        <f>VLOOKUP($D57,Scopus!$A$2:$K$49,3,FALSE)</f>
        <v>75.0%
45/183
Computer Vision and Pattern Recognition</v>
      </c>
      <c r="J57" t="str">
        <f>VLOOKUP($D57,Scopus!$A$2:$K$49,10,FALSE)</f>
        <v>Q2</v>
      </c>
      <c r="K57" t="str">
        <f>VLOOKUP($D57,Scopus!$A$2:$K$49,11,FALSE)</f>
        <v>2624-9898</v>
      </c>
      <c r="L57" t="e">
        <f t="shared" si="0"/>
        <v>#N/A</v>
      </c>
    </row>
    <row r="58" spans="1:12" ht="42" x14ac:dyDescent="0.15">
      <c r="A58" t="s">
        <v>1165</v>
      </c>
      <c r="B58" t="s">
        <v>1166</v>
      </c>
      <c r="C58">
        <v>2025</v>
      </c>
      <c r="D58" t="s">
        <v>1167</v>
      </c>
      <c r="E58" t="s">
        <v>1053</v>
      </c>
      <c r="F58" t="s">
        <v>17</v>
      </c>
      <c r="G58">
        <v>57</v>
      </c>
      <c r="H58" t="s">
        <v>1168</v>
      </c>
      <c r="I58" t="str">
        <f>VLOOKUP($D58,Scopus!$A$2:$K$49,3,FALSE)</f>
        <v>85.0%
101/680
Applied Mathematics</v>
      </c>
      <c r="J58" t="str">
        <f>VLOOKUP($D58,Scopus!$A$2:$K$49,10,FALSE)</f>
        <v>Q2</v>
      </c>
      <c r="K58" t="str">
        <f>VLOOKUP($D58,Scopus!$A$2:$K$49,11,FALSE)</f>
        <v>2079-3197</v>
      </c>
      <c r="L58" t="e">
        <f t="shared" si="0"/>
        <v>#N/A</v>
      </c>
    </row>
    <row r="59" spans="1:12" ht="42" x14ac:dyDescent="0.15">
      <c r="A59" t="s">
        <v>141</v>
      </c>
      <c r="B59" t="s">
        <v>142</v>
      </c>
      <c r="C59">
        <v>2021</v>
      </c>
      <c r="D59" t="s">
        <v>143</v>
      </c>
      <c r="E59" t="s">
        <v>91</v>
      </c>
      <c r="F59" t="s">
        <v>32</v>
      </c>
      <c r="G59">
        <v>53</v>
      </c>
      <c r="H59" t="s">
        <v>145</v>
      </c>
      <c r="I59" t="str">
        <f>VLOOKUP($D59,Scopus!$A$2:$K$49,3,FALSE)</f>
        <v>95.0%
10/198
Control and Optimization</v>
      </c>
      <c r="J59" t="str">
        <f>VLOOKUP($D59,Scopus!$A$2:$K$49,10,FALSE)</f>
        <v>Q1</v>
      </c>
      <c r="K59" t="str">
        <f>VLOOKUP($D59,Scopus!$A$2:$K$49,11,FALSE)</f>
        <v>1996-1073</v>
      </c>
      <c r="L59" t="e">
        <f t="shared" si="0"/>
        <v>#N/A</v>
      </c>
    </row>
    <row r="60" spans="1:12" ht="42" x14ac:dyDescent="0.15">
      <c r="A60" t="s">
        <v>130</v>
      </c>
      <c r="B60" t="s">
        <v>131</v>
      </c>
      <c r="C60">
        <v>2023</v>
      </c>
      <c r="D60" t="s">
        <v>126</v>
      </c>
      <c r="E60" t="s">
        <v>91</v>
      </c>
      <c r="F60" t="s">
        <v>75</v>
      </c>
      <c r="G60">
        <v>52</v>
      </c>
      <c r="H60" t="s">
        <v>133</v>
      </c>
      <c r="I60" t="str">
        <f>VLOOKUP($D60,Scopus!$A$2:$K$49,3,FALSE)</f>
        <v>82.0%
18/99
Fluid Flow and Transfer Processes</v>
      </c>
      <c r="J60" t="str">
        <f>VLOOKUP($D60,Scopus!$A$2:$K$49,10,FALSE)</f>
        <v>Q2</v>
      </c>
      <c r="K60" t="str">
        <f>VLOOKUP($D60,Scopus!$A$2:$K$49,11,FALSE)</f>
        <v>2076-3417</v>
      </c>
      <c r="L60" t="e">
        <f t="shared" si="0"/>
        <v>#N/A</v>
      </c>
    </row>
    <row r="61" spans="1:12" ht="42" x14ac:dyDescent="0.15">
      <c r="A61" t="s">
        <v>816</v>
      </c>
      <c r="B61" t="s">
        <v>817</v>
      </c>
      <c r="C61">
        <v>2025</v>
      </c>
      <c r="D61" t="s">
        <v>175</v>
      </c>
      <c r="E61" t="s">
        <v>640</v>
      </c>
      <c r="F61" t="s">
        <v>32</v>
      </c>
      <c r="G61">
        <v>52</v>
      </c>
      <c r="H61" t="s">
        <v>818</v>
      </c>
      <c r="I61" t="str">
        <f>VLOOKUP($D61,Scopus!$A$2:$K$49,3,FALSE)</f>
        <v>79.0%
108/519
Information Systems</v>
      </c>
      <c r="J61" t="str">
        <f>VLOOKUP($D61,Scopus!$A$2:$K$49,10,FALSE)</f>
        <v>Q2</v>
      </c>
      <c r="K61" t="str">
        <f>VLOOKUP($D61,Scopus!$A$2:$K$49,11,FALSE)</f>
        <v>2078-2489</v>
      </c>
      <c r="L61" t="e">
        <f t="shared" si="0"/>
        <v>#N/A</v>
      </c>
    </row>
    <row r="62" spans="1:12" ht="42" x14ac:dyDescent="0.15">
      <c r="A62" t="s">
        <v>303</v>
      </c>
      <c r="B62" t="s">
        <v>304</v>
      </c>
      <c r="C62">
        <v>2021</v>
      </c>
      <c r="D62" t="s">
        <v>305</v>
      </c>
      <c r="E62" t="s">
        <v>237</v>
      </c>
      <c r="F62" t="s">
        <v>32</v>
      </c>
      <c r="G62">
        <v>50</v>
      </c>
      <c r="H62" t="s">
        <v>307</v>
      </c>
      <c r="I62" t="str">
        <f>VLOOKUP($D62,Scopus!$A$2:$K$49,3,FALSE)</f>
        <v>87.0%
130/1022
Computer Science Applications</v>
      </c>
      <c r="J62" t="str">
        <f>VLOOKUP($D62,Scopus!$A$2:$K$49,10,FALSE)</f>
        <v>Q1</v>
      </c>
      <c r="K62" t="str">
        <f>VLOOKUP($D62,Scopus!$A$2:$K$49,11,FALSE)</f>
        <v>1438-8871</v>
      </c>
      <c r="L62" t="e">
        <f t="shared" si="0"/>
        <v>#N/A</v>
      </c>
    </row>
    <row r="63" spans="1:12" s="36" customFormat="1" ht="28" x14ac:dyDescent="0.15">
      <c r="A63" s="36" t="s">
        <v>835</v>
      </c>
      <c r="B63" s="36" t="s">
        <v>836</v>
      </c>
      <c r="C63" s="36">
        <v>2025</v>
      </c>
      <c r="D63" s="36" t="s">
        <v>837</v>
      </c>
      <c r="E63" s="36" t="s">
        <v>640</v>
      </c>
      <c r="F63" s="36" t="s">
        <v>32</v>
      </c>
      <c r="G63" s="36">
        <v>45</v>
      </c>
      <c r="H63" s="36" t="s">
        <v>838</v>
      </c>
      <c r="I63" s="36" t="e">
        <f>VLOOKUP($D63,Scopus!$A$2:$K$49,3,FALSE)</f>
        <v>#N/A</v>
      </c>
      <c r="J63" s="36" t="e">
        <f>VLOOKUP($D63,Scopus!$A$2:$K$49,10,FALSE)</f>
        <v>#N/A</v>
      </c>
      <c r="K63" s="36" t="e">
        <f>VLOOKUP($D63,Scopus!$A$2:$K$49,11,FALSE)</f>
        <v>#N/A</v>
      </c>
      <c r="L63" s="36" t="e">
        <f t="shared" si="0"/>
        <v>#N/A</v>
      </c>
    </row>
    <row r="64" spans="1:12" ht="42" x14ac:dyDescent="0.15">
      <c r="A64" t="s">
        <v>201</v>
      </c>
      <c r="B64" t="s">
        <v>202</v>
      </c>
      <c r="C64">
        <v>2022</v>
      </c>
      <c r="D64" t="s">
        <v>203</v>
      </c>
      <c r="E64" t="s">
        <v>155</v>
      </c>
      <c r="F64" t="s">
        <v>32</v>
      </c>
      <c r="G64">
        <v>33</v>
      </c>
      <c r="H64" t="s">
        <v>205</v>
      </c>
      <c r="I64" t="str">
        <f>VLOOKUP($D64,Scopus!$A$2:$K$49,3,FALSE)</f>
        <v>98.0%
2/143
Automotive Engineering</v>
      </c>
      <c r="J64" t="str">
        <f>VLOOKUP($D64,Scopus!$A$2:$K$49,10,FALSE)</f>
        <v>Q1</v>
      </c>
      <c r="K64" t="str">
        <f>VLOOKUP($D64,Scopus!$A$2:$K$49,11,FALSE)</f>
        <v>1524-9050</v>
      </c>
      <c r="L64" t="e">
        <f t="shared" si="0"/>
        <v>#N/A</v>
      </c>
    </row>
    <row r="65" spans="1:12" ht="42" x14ac:dyDescent="0.15">
      <c r="A65" t="s">
        <v>1227</v>
      </c>
      <c r="B65" t="s">
        <v>1228</v>
      </c>
      <c r="C65">
        <v>2023</v>
      </c>
      <c r="D65" t="s">
        <v>126</v>
      </c>
      <c r="E65" t="s">
        <v>1053</v>
      </c>
      <c r="F65" t="s">
        <v>75</v>
      </c>
      <c r="G65">
        <v>32</v>
      </c>
      <c r="H65" t="s">
        <v>1229</v>
      </c>
      <c r="I65" t="str">
        <f>VLOOKUP($D65,Scopus!$A$2:$K$49,3,FALSE)</f>
        <v>82.0%
18/99
Fluid Flow and Transfer Processes</v>
      </c>
      <c r="J65" t="str">
        <f>VLOOKUP($D65,Scopus!$A$2:$K$49,10,FALSE)</f>
        <v>Q2</v>
      </c>
      <c r="K65" t="str">
        <f>VLOOKUP($D65,Scopus!$A$2:$K$49,11,FALSE)</f>
        <v>2076-3417</v>
      </c>
      <c r="L65" t="e">
        <f t="shared" si="0"/>
        <v>#N/A</v>
      </c>
    </row>
    <row r="66" spans="1:12" ht="42" x14ac:dyDescent="0.15">
      <c r="A66" t="s">
        <v>173</v>
      </c>
      <c r="B66" t="s">
        <v>174</v>
      </c>
      <c r="C66">
        <v>2025</v>
      </c>
      <c r="D66" t="s">
        <v>175</v>
      </c>
      <c r="E66" t="s">
        <v>155</v>
      </c>
      <c r="F66" t="s">
        <v>32</v>
      </c>
      <c r="G66">
        <v>31</v>
      </c>
      <c r="H66" t="s">
        <v>177</v>
      </c>
      <c r="I66" t="str">
        <f>VLOOKUP($D66,Scopus!$A$2:$K$49,3,FALSE)</f>
        <v>79.0%
108/519
Information Systems</v>
      </c>
      <c r="J66" t="str">
        <f>VLOOKUP($D66,Scopus!$A$2:$K$49,10,FALSE)</f>
        <v>Q2</v>
      </c>
      <c r="K66" t="str">
        <f>VLOOKUP($D66,Scopus!$A$2:$K$49,11,FALSE)</f>
        <v>2078-2489</v>
      </c>
      <c r="L66" t="e">
        <f t="shared" si="0"/>
        <v>#N/A</v>
      </c>
    </row>
    <row r="67" spans="1:12" ht="42" x14ac:dyDescent="0.15">
      <c r="A67" t="s">
        <v>1170</v>
      </c>
      <c r="B67" t="s">
        <v>1171</v>
      </c>
      <c r="C67">
        <v>2025</v>
      </c>
      <c r="D67" t="s">
        <v>1172</v>
      </c>
      <c r="E67" t="s">
        <v>1053</v>
      </c>
      <c r="F67" t="s">
        <v>17</v>
      </c>
      <c r="G67">
        <v>28</v>
      </c>
      <c r="H67" t="s">
        <v>1174</v>
      </c>
      <c r="I67" t="str">
        <f>VLOOKUP($D67,Scopus!$A$2:$K$49,3,FALSE)</f>
        <v>99.0%
1/1221
Linguistics and Language</v>
      </c>
      <c r="J67" t="str">
        <f>VLOOKUP($D67,Scopus!$A$2:$K$49,10,FALSE)</f>
        <v>Q1</v>
      </c>
      <c r="K67" t="str">
        <f>VLOOKUP($D67,Scopus!$A$2:$K$49,11,FALSE)</f>
        <v>0269-2821</v>
      </c>
      <c r="L67" t="e">
        <f t="shared" ref="L67:L94" si="1">VLOOKUP(H67,$M$1:$Z$40,14,FALSE)</f>
        <v>#N/A</v>
      </c>
    </row>
    <row r="68" spans="1:12" ht="42" x14ac:dyDescent="0.15">
      <c r="A68" t="s">
        <v>1103</v>
      </c>
      <c r="B68" t="s">
        <v>1104</v>
      </c>
      <c r="C68">
        <v>2025</v>
      </c>
      <c r="D68" t="s">
        <v>770</v>
      </c>
      <c r="E68" t="s">
        <v>1053</v>
      </c>
      <c r="F68" t="s">
        <v>75</v>
      </c>
      <c r="G68">
        <v>27</v>
      </c>
      <c r="H68" t="s">
        <v>1105</v>
      </c>
      <c r="I68" t="str">
        <f>VLOOKUP($D68,Scopus!$A$2:$K$49,3,FALSE)</f>
        <v>86.0%
25/179
Computer Science (miscellaneous)</v>
      </c>
      <c r="J68" t="str">
        <f>VLOOKUP($D68,Scopus!$A$2:$K$49,10,FALSE)</f>
        <v>Q1</v>
      </c>
      <c r="K68" t="str">
        <f>VLOOKUP($D68,Scopus!$A$2:$K$49,11,FALSE)</f>
        <v>2073-431X</v>
      </c>
      <c r="L68" t="e">
        <f t="shared" si="1"/>
        <v>#N/A</v>
      </c>
    </row>
    <row r="69" spans="1:12" ht="42" x14ac:dyDescent="0.15">
      <c r="A69" t="s">
        <v>185</v>
      </c>
      <c r="B69" t="s">
        <v>186</v>
      </c>
      <c r="C69">
        <v>2023</v>
      </c>
      <c r="D69" s="36" t="s">
        <v>187</v>
      </c>
      <c r="E69" t="s">
        <v>155</v>
      </c>
      <c r="F69" t="s">
        <v>32</v>
      </c>
      <c r="G69">
        <v>24</v>
      </c>
      <c r="H69" t="s">
        <v>189</v>
      </c>
      <c r="I69" t="e">
        <f>VLOOKUP($D69,Scopus!$A$2:$K$49,3,FALSE)</f>
        <v>#N/A</v>
      </c>
      <c r="J69" t="e">
        <f>VLOOKUP($D69,Scopus!$A$2:$K$49,10,FALSE)</f>
        <v>#N/A</v>
      </c>
      <c r="K69" t="e">
        <f>VLOOKUP($D69,Scopus!$A$2:$K$49,11,FALSE)</f>
        <v>#N/A</v>
      </c>
      <c r="L69" t="e">
        <f t="shared" si="1"/>
        <v>#N/A</v>
      </c>
    </row>
    <row r="70" spans="1:12" ht="42" x14ac:dyDescent="0.15">
      <c r="A70" t="s">
        <v>1110</v>
      </c>
      <c r="B70" t="s">
        <v>1111</v>
      </c>
      <c r="C70">
        <v>2025</v>
      </c>
      <c r="D70" t="s">
        <v>1112</v>
      </c>
      <c r="E70" t="s">
        <v>1053</v>
      </c>
      <c r="F70" t="s">
        <v>17</v>
      </c>
      <c r="G70">
        <v>24</v>
      </c>
      <c r="H70" t="s">
        <v>1113</v>
      </c>
      <c r="I70" t="str">
        <f>VLOOKUP($D70,Scopus!$A$2:$K$49,3,FALSE)</f>
        <v>85.0%
27/179
Computer Science (miscellaneous)</v>
      </c>
      <c r="J70" t="str">
        <f>VLOOKUP($D70,Scopus!$A$2:$K$49,10,FALSE)</f>
        <v>Q1</v>
      </c>
      <c r="K70" t="str">
        <f>VLOOKUP($D70,Scopus!$A$2:$K$49,11,FALSE)</f>
        <v>2624-800X</v>
      </c>
      <c r="L70" t="e">
        <f t="shared" si="1"/>
        <v>#N/A</v>
      </c>
    </row>
    <row r="71" spans="1:12" ht="42" x14ac:dyDescent="0.15">
      <c r="A71" t="s">
        <v>881</v>
      </c>
      <c r="B71" t="s">
        <v>882</v>
      </c>
      <c r="C71">
        <v>2024</v>
      </c>
      <c r="D71" t="s">
        <v>883</v>
      </c>
      <c r="E71" t="s">
        <v>640</v>
      </c>
      <c r="F71" t="s">
        <v>75</v>
      </c>
      <c r="G71">
        <v>22</v>
      </c>
      <c r="H71" t="s">
        <v>885</v>
      </c>
      <c r="I71" t="str">
        <f>VLOOKUP($D71,Scopus!$A$2:$K$49,3,FALSE)</f>
        <v>88.0%
29/245
Hardware and Architecture</v>
      </c>
      <c r="J71" t="str">
        <f>VLOOKUP($D71,Scopus!$A$2:$K$49,10,FALSE)</f>
        <v>Q1</v>
      </c>
      <c r="K71" t="str">
        <f>VLOOKUP($D71,Scopus!$A$2:$K$49,11,FALSE)</f>
        <v>0164-1212</v>
      </c>
      <c r="L71" t="e">
        <f t="shared" si="1"/>
        <v>#N/A</v>
      </c>
    </row>
    <row r="72" spans="1:12" ht="42" x14ac:dyDescent="0.15">
      <c r="A72" t="s">
        <v>124</v>
      </c>
      <c r="B72" t="s">
        <v>125</v>
      </c>
      <c r="C72">
        <v>2023</v>
      </c>
      <c r="D72" t="s">
        <v>126</v>
      </c>
      <c r="E72" t="s">
        <v>91</v>
      </c>
      <c r="F72" t="s">
        <v>75</v>
      </c>
      <c r="G72">
        <v>19</v>
      </c>
      <c r="H72" t="s">
        <v>128</v>
      </c>
      <c r="I72" t="str">
        <f>VLOOKUP($D72,Scopus!$A$2:$K$49,3,FALSE)</f>
        <v>82.0%
18/99
Fluid Flow and Transfer Processes</v>
      </c>
      <c r="J72" t="str">
        <f>VLOOKUP($D72,Scopus!$A$2:$K$49,10,FALSE)</f>
        <v>Q2</v>
      </c>
      <c r="K72" t="str">
        <f>VLOOKUP($D72,Scopus!$A$2:$K$49,11,FALSE)</f>
        <v>2076-3417</v>
      </c>
      <c r="L72" t="e">
        <f t="shared" si="1"/>
        <v>#N/A</v>
      </c>
    </row>
    <row r="73" spans="1:12" ht="42" x14ac:dyDescent="0.15">
      <c r="A73" t="s">
        <v>604</v>
      </c>
      <c r="B73" t="s">
        <v>605</v>
      </c>
      <c r="C73">
        <v>2024</v>
      </c>
      <c r="D73" t="s">
        <v>606</v>
      </c>
      <c r="E73" t="s">
        <v>599</v>
      </c>
      <c r="F73" t="s">
        <v>75</v>
      </c>
      <c r="G73">
        <v>18</v>
      </c>
      <c r="H73" t="s">
        <v>608</v>
      </c>
      <c r="I73" t="str">
        <f>VLOOKUP($D73,Scopus!$A$2:$K$49,3,FALSE)</f>
        <v>60.0%
42/106
Chemical Engineering (miscellaneous)</v>
      </c>
      <c r="J73" t="str">
        <f>VLOOKUP($D73,Scopus!$A$2:$K$49,10,FALSE)</f>
        <v>Q2</v>
      </c>
      <c r="K73" t="str">
        <f>VLOOKUP($D73,Scopus!$A$2:$K$49,11,FALSE)</f>
        <v>2227-9717</v>
      </c>
      <c r="L73" t="e">
        <f t="shared" si="1"/>
        <v>#N/A</v>
      </c>
    </row>
    <row r="74" spans="1:12" s="36" customFormat="1" ht="42" x14ac:dyDescent="0.15">
      <c r="A74" s="36" t="s">
        <v>481</v>
      </c>
      <c r="B74" s="36" t="s">
        <v>482</v>
      </c>
      <c r="C74" s="36">
        <v>2021</v>
      </c>
      <c r="D74" s="36" t="s">
        <v>483</v>
      </c>
      <c r="E74" s="36" t="s">
        <v>321</v>
      </c>
      <c r="F74" s="36" t="s">
        <v>75</v>
      </c>
      <c r="G74" s="36">
        <v>17</v>
      </c>
      <c r="H74" s="36" t="s">
        <v>485</v>
      </c>
      <c r="I74" t="e">
        <f>VLOOKUP($D74,Scopus!$A$2:$K$49,3,FALSE)</f>
        <v>#N/A</v>
      </c>
      <c r="J74" t="e">
        <f>VLOOKUP($D74,Scopus!$A$2:$K$49,10,FALSE)</f>
        <v>#N/A</v>
      </c>
      <c r="K74" t="e">
        <f>VLOOKUP($D74,Scopus!$A$2:$K$49,11,FALSE)</f>
        <v>#N/A</v>
      </c>
      <c r="L74" s="36" t="e">
        <f t="shared" si="1"/>
        <v>#N/A</v>
      </c>
    </row>
    <row r="75" spans="1:12" s="36" customFormat="1" ht="42" x14ac:dyDescent="0.15">
      <c r="A75" s="36" t="s">
        <v>788</v>
      </c>
      <c r="B75" s="36" t="s">
        <v>736</v>
      </c>
      <c r="C75" s="36">
        <v>2025</v>
      </c>
      <c r="D75" s="36" t="s">
        <v>789</v>
      </c>
      <c r="E75" s="36" t="s">
        <v>640</v>
      </c>
      <c r="F75" s="36" t="s">
        <v>17</v>
      </c>
      <c r="G75" s="36">
        <v>16</v>
      </c>
      <c r="H75" s="36" t="s">
        <v>790</v>
      </c>
      <c r="I75" t="e">
        <f>VLOOKUP($D75,Scopus!$A$2:$K$49,3,FALSE)</f>
        <v>#N/A</v>
      </c>
      <c r="J75" t="e">
        <f>VLOOKUP($D75,Scopus!$A$2:$K$49,10,FALSE)</f>
        <v>#N/A</v>
      </c>
      <c r="K75" t="e">
        <f>VLOOKUP($D75,Scopus!$A$2:$K$49,11,FALSE)</f>
        <v>#N/A</v>
      </c>
      <c r="L75" s="36" t="e">
        <f t="shared" si="1"/>
        <v>#N/A</v>
      </c>
    </row>
    <row r="76" spans="1:12" ht="42" x14ac:dyDescent="0.15">
      <c r="A76" t="s">
        <v>768</v>
      </c>
      <c r="B76" t="s">
        <v>769</v>
      </c>
      <c r="C76">
        <v>2025</v>
      </c>
      <c r="D76" t="s">
        <v>770</v>
      </c>
      <c r="E76" t="s">
        <v>640</v>
      </c>
      <c r="F76" t="s">
        <v>75</v>
      </c>
      <c r="G76">
        <v>16</v>
      </c>
      <c r="H76" t="s">
        <v>772</v>
      </c>
      <c r="I76" t="str">
        <f>VLOOKUP($D76,Scopus!$A$2:$K$49,3,FALSE)</f>
        <v>86.0%
25/179
Computer Science (miscellaneous)</v>
      </c>
      <c r="J76" t="str">
        <f>VLOOKUP($D76,Scopus!$A$2:$K$49,10,FALSE)</f>
        <v>Q1</v>
      </c>
      <c r="K76" t="str">
        <f>VLOOKUP($D76,Scopus!$A$2:$K$49,11,FALSE)</f>
        <v>2073-431X</v>
      </c>
      <c r="L76" t="e">
        <f t="shared" si="1"/>
        <v>#N/A</v>
      </c>
    </row>
    <row r="77" spans="1:12" ht="42" x14ac:dyDescent="0.15">
      <c r="A77" t="s">
        <v>412</v>
      </c>
      <c r="B77" t="s">
        <v>413</v>
      </c>
      <c r="C77">
        <v>2023</v>
      </c>
      <c r="D77" t="s">
        <v>414</v>
      </c>
      <c r="E77" t="s">
        <v>321</v>
      </c>
      <c r="F77" t="s">
        <v>75</v>
      </c>
      <c r="G77">
        <v>12</v>
      </c>
      <c r="H77" t="s">
        <v>416</v>
      </c>
      <c r="I77" t="str">
        <f>VLOOKUP($D77,Scopus!$A$2:$K$49,3,FALSE)</f>
        <v>83.0%
36/212
Computational Mathematics</v>
      </c>
      <c r="J77" t="str">
        <f>VLOOKUP($D77,Scopus!$A$2:$K$49,10,FALSE)</f>
        <v>Q2</v>
      </c>
      <c r="K77" t="str">
        <f>VLOOKUP($D77,Scopus!$A$2:$K$49,11,FALSE)</f>
        <v>0824-7935</v>
      </c>
      <c r="L77" t="e">
        <f t="shared" si="1"/>
        <v>#N/A</v>
      </c>
    </row>
    <row r="78" spans="1:12" ht="42" x14ac:dyDescent="0.15">
      <c r="A78" t="s">
        <v>740</v>
      </c>
      <c r="B78" t="s">
        <v>741</v>
      </c>
      <c r="C78">
        <v>2025</v>
      </c>
      <c r="D78" t="s">
        <v>742</v>
      </c>
      <c r="E78" t="s">
        <v>640</v>
      </c>
      <c r="F78" t="s">
        <v>17</v>
      </c>
      <c r="G78">
        <v>11</v>
      </c>
      <c r="H78" t="s">
        <v>743</v>
      </c>
      <c r="I78" t="str">
        <f>VLOOKUP($D78,Scopus!$A$2:$K$49,3,FALSE)</f>
        <v>93.0%
12/179
Computer Science (miscellaneous)</v>
      </c>
      <c r="J78" t="str">
        <f>VLOOKUP($D78,Scopus!$A$2:$K$49,10,FALSE)</f>
        <v>Q1</v>
      </c>
      <c r="K78" t="str">
        <f>VLOOKUP($D78,Scopus!$A$2:$K$49,11,FALSE)</f>
        <v>2667-3053</v>
      </c>
      <c r="L78" t="e">
        <f t="shared" si="1"/>
        <v>#N/A</v>
      </c>
    </row>
    <row r="79" spans="1:12" ht="42" x14ac:dyDescent="0.15">
      <c r="A79" t="s">
        <v>1158</v>
      </c>
      <c r="B79" t="s">
        <v>1159</v>
      </c>
      <c r="C79">
        <v>2025</v>
      </c>
      <c r="D79" t="s">
        <v>420</v>
      </c>
      <c r="E79" t="s">
        <v>1053</v>
      </c>
      <c r="F79" t="s">
        <v>75</v>
      </c>
      <c r="G79">
        <v>11</v>
      </c>
      <c r="H79" t="s">
        <v>1160</v>
      </c>
      <c r="I79" t="str">
        <f>VLOOKUP($D79,Scopus!$A$2:$K$49,3,FALSE)</f>
        <v>91.0%
19/206
Instrumentation</v>
      </c>
      <c r="J79" t="str">
        <f>VLOOKUP($D79,Scopus!$A$2:$K$49,10,FALSE)</f>
        <v>Q1</v>
      </c>
      <c r="K79" t="str">
        <f>VLOOKUP($D79,Scopus!$A$2:$K$49,11,FALSE)</f>
        <v>1424-8220</v>
      </c>
      <c r="L79" t="e">
        <f t="shared" si="1"/>
        <v>#N/A</v>
      </c>
    </row>
    <row r="80" spans="1:12" s="36" customFormat="1" ht="42" x14ac:dyDescent="0.15">
      <c r="A80" s="36" t="s">
        <v>735</v>
      </c>
      <c r="B80" s="36" t="s">
        <v>736</v>
      </c>
      <c r="C80" s="36">
        <v>2025</v>
      </c>
      <c r="D80" s="36" t="s">
        <v>737</v>
      </c>
      <c r="E80" s="36" t="s">
        <v>640</v>
      </c>
      <c r="F80" s="36" t="s">
        <v>75</v>
      </c>
      <c r="G80" s="36">
        <v>10</v>
      </c>
      <c r="H80" s="36" t="s">
        <v>738</v>
      </c>
      <c r="I80" t="e">
        <f>VLOOKUP($D80,Scopus!$A$2:$K$49,3,FALSE)</f>
        <v>#N/A</v>
      </c>
      <c r="J80" t="e">
        <f>VLOOKUP($D80,Scopus!$A$2:$K$49,10,FALSE)</f>
        <v>#N/A</v>
      </c>
      <c r="K80" t="e">
        <f>VLOOKUP($D80,Scopus!$A$2:$K$49,11,FALSE)</f>
        <v>#N/A</v>
      </c>
      <c r="L80" s="36" t="e">
        <f t="shared" si="1"/>
        <v>#N/A</v>
      </c>
    </row>
    <row r="81" spans="1:12" s="36" customFormat="1" ht="42" x14ac:dyDescent="0.15">
      <c r="A81" s="36" t="s">
        <v>1231</v>
      </c>
      <c r="B81" s="36" t="s">
        <v>1232</v>
      </c>
      <c r="C81" s="36">
        <v>2023</v>
      </c>
      <c r="D81" s="36" t="s">
        <v>1233</v>
      </c>
      <c r="E81" s="36" t="s">
        <v>1053</v>
      </c>
      <c r="F81" s="36" t="s">
        <v>32</v>
      </c>
      <c r="G81" s="36">
        <v>9</v>
      </c>
      <c r="H81" s="36" t="s">
        <v>1234</v>
      </c>
      <c r="I81" t="e">
        <f>VLOOKUP($D81,Scopus!$A$2:$K$49,3,FALSE)</f>
        <v>#N/A</v>
      </c>
      <c r="J81" t="e">
        <f>VLOOKUP($D81,Scopus!$A$2:$K$49,10,FALSE)</f>
        <v>#N/A</v>
      </c>
      <c r="K81" t="e">
        <f>VLOOKUP($D81,Scopus!$A$2:$K$49,11,FALSE)</f>
        <v>#N/A</v>
      </c>
      <c r="L81" s="36" t="e">
        <f t="shared" si="1"/>
        <v>#N/A</v>
      </c>
    </row>
    <row r="82" spans="1:12" ht="42" x14ac:dyDescent="0.15">
      <c r="A82" t="s">
        <v>292</v>
      </c>
      <c r="B82" t="s">
        <v>293</v>
      </c>
      <c r="C82">
        <v>2023</v>
      </c>
      <c r="D82" t="s">
        <v>294</v>
      </c>
      <c r="E82" t="s">
        <v>237</v>
      </c>
      <c r="F82" t="s">
        <v>75</v>
      </c>
      <c r="G82">
        <v>7</v>
      </c>
      <c r="H82" t="s">
        <v>295</v>
      </c>
      <c r="I82" t="str">
        <f>VLOOKUP($D82,Scopus!$A$2:$K$49,3,FALSE)</f>
        <v>76.0%
66/282
Safety, Risk, Reliability and Quality</v>
      </c>
      <c r="J82" t="str">
        <f>VLOOKUP($D82,Scopus!$A$2:$K$49,10,FALSE)</f>
        <v>Q2</v>
      </c>
      <c r="K82" t="str">
        <f>VLOOKUP($D82,Scopus!$A$2:$K$49,11,FALSE)</f>
        <v>0748-8017</v>
      </c>
      <c r="L82" t="e">
        <f t="shared" si="1"/>
        <v>#N/A</v>
      </c>
    </row>
    <row r="83" spans="1:12" ht="42" x14ac:dyDescent="0.15">
      <c r="A83" t="s">
        <v>1185</v>
      </c>
      <c r="B83" t="s">
        <v>1186</v>
      </c>
      <c r="C83">
        <v>2025</v>
      </c>
      <c r="D83" t="s">
        <v>1187</v>
      </c>
      <c r="E83" t="s">
        <v>1053</v>
      </c>
      <c r="F83" t="s">
        <v>32</v>
      </c>
      <c r="G83">
        <v>7</v>
      </c>
      <c r="H83" t="s">
        <v>1188</v>
      </c>
      <c r="I83" t="e">
        <f>VLOOKUP($D83,Scopus!$A$2:$K$49,3,FALSE)</f>
        <v>#N/A</v>
      </c>
      <c r="J83" t="e">
        <f>VLOOKUP($D83,Scopus!$A$2:$K$49,10,FALSE)</f>
        <v>#N/A</v>
      </c>
      <c r="K83" t="e">
        <f>VLOOKUP($D83,Scopus!$A$2:$K$49,11,FALSE)</f>
        <v>#N/A</v>
      </c>
      <c r="L83" t="e">
        <f t="shared" si="1"/>
        <v>#N/A</v>
      </c>
    </row>
    <row r="84" spans="1:12" ht="42" x14ac:dyDescent="0.15">
      <c r="A84" t="s">
        <v>167</v>
      </c>
      <c r="B84" t="s">
        <v>168</v>
      </c>
      <c r="C84">
        <v>2025</v>
      </c>
      <c r="D84" s="31" t="s">
        <v>1614</v>
      </c>
      <c r="E84" t="s">
        <v>155</v>
      </c>
      <c r="F84" t="s">
        <v>32</v>
      </c>
      <c r="G84">
        <v>6</v>
      </c>
      <c r="H84" t="s">
        <v>171</v>
      </c>
      <c r="I84" t="e">
        <f>VLOOKUP($D84,Scopus!$A$2:$K$49,3,FALSE)</f>
        <v>#N/A</v>
      </c>
      <c r="J84" t="e">
        <f>VLOOKUP($D84,Scopus!$A$2:$K$49,10,FALSE)</f>
        <v>#N/A</v>
      </c>
      <c r="K84" t="e">
        <f>VLOOKUP($D84,Scopus!$A$2:$K$49,11,FALSE)</f>
        <v>#N/A</v>
      </c>
      <c r="L84" t="e">
        <f t="shared" si="1"/>
        <v>#N/A</v>
      </c>
    </row>
    <row r="85" spans="1:12" s="36" customFormat="1" ht="42" x14ac:dyDescent="0.15">
      <c r="A85" s="36" t="s">
        <v>439</v>
      </c>
      <c r="B85" s="36" t="s">
        <v>440</v>
      </c>
      <c r="C85" s="36">
        <v>2022</v>
      </c>
      <c r="D85" s="36" t="s">
        <v>441</v>
      </c>
      <c r="E85" s="36" t="s">
        <v>321</v>
      </c>
      <c r="F85" s="36" t="s">
        <v>75</v>
      </c>
      <c r="G85" s="36">
        <v>6</v>
      </c>
      <c r="H85" s="36" t="s">
        <v>442</v>
      </c>
      <c r="I85" t="e">
        <f>VLOOKUP($D85,Scopus!$A$2:$K$49,3,FALSE)</f>
        <v>#N/A</v>
      </c>
      <c r="J85" t="e">
        <f>VLOOKUP($D85,Scopus!$A$2:$K$49,10,FALSE)</f>
        <v>#N/A</v>
      </c>
      <c r="K85" t="e">
        <f>VLOOKUP($D85,Scopus!$A$2:$K$49,11,FALSE)</f>
        <v>#N/A</v>
      </c>
      <c r="L85" s="36" t="e">
        <f t="shared" si="1"/>
        <v>#N/A</v>
      </c>
    </row>
    <row r="86" spans="1:12" ht="42" x14ac:dyDescent="0.15">
      <c r="A86" t="s">
        <v>1020</v>
      </c>
      <c r="B86" t="s">
        <v>1021</v>
      </c>
      <c r="C86">
        <v>2023</v>
      </c>
      <c r="D86" s="31" t="s">
        <v>1571</v>
      </c>
      <c r="E86" t="s">
        <v>957</v>
      </c>
      <c r="F86" t="s">
        <v>75</v>
      </c>
      <c r="G86">
        <v>6</v>
      </c>
      <c r="H86" t="s">
        <v>1023</v>
      </c>
      <c r="I86" t="str">
        <f>VLOOKUP($D86,Scopus!$A$2:$K$49,3,FALSE)</f>
        <v>47.0%
71/135
Theoretical Computer Science</v>
      </c>
      <c r="J86" t="str">
        <f>VLOOKUP($D86,Scopus!$A$2:$K$49,10,FALSE)</f>
        <v>Q3</v>
      </c>
      <c r="K86" t="str">
        <f>VLOOKUP($D86,Scopus!$A$2:$K$49,11,FALSE)</f>
        <v>0948-695X</v>
      </c>
      <c r="L86" t="e">
        <f t="shared" si="1"/>
        <v>#N/A</v>
      </c>
    </row>
    <row r="87" spans="1:12" ht="42" x14ac:dyDescent="0.15">
      <c r="A87" t="s">
        <v>986</v>
      </c>
      <c r="B87" t="s">
        <v>987</v>
      </c>
      <c r="C87">
        <v>2025</v>
      </c>
      <c r="D87" s="36" t="s">
        <v>988</v>
      </c>
      <c r="E87" t="s">
        <v>957</v>
      </c>
      <c r="F87" t="s">
        <v>75</v>
      </c>
      <c r="G87">
        <v>4</v>
      </c>
      <c r="H87" t="s">
        <v>989</v>
      </c>
      <c r="I87" t="e">
        <f>VLOOKUP($D87,Scopus!$A$2:$K$49,3,FALSE)</f>
        <v>#N/A</v>
      </c>
      <c r="J87" t="e">
        <f>VLOOKUP($D87,Scopus!$A$2:$K$49,10,FALSE)</f>
        <v>#N/A</v>
      </c>
      <c r="K87" t="e">
        <f>VLOOKUP($D87,Scopus!$A$2:$K$49,11,FALSE)</f>
        <v>#N/A</v>
      </c>
      <c r="L87" t="e">
        <f t="shared" si="1"/>
        <v>#N/A</v>
      </c>
    </row>
    <row r="88" spans="1:12" ht="42" x14ac:dyDescent="0.15">
      <c r="A88" t="s">
        <v>620</v>
      </c>
      <c r="B88" t="s">
        <v>621</v>
      </c>
      <c r="C88">
        <v>2022</v>
      </c>
      <c r="D88" s="36" t="s">
        <v>622</v>
      </c>
      <c r="E88" t="s">
        <v>599</v>
      </c>
      <c r="F88" t="s">
        <v>32</v>
      </c>
      <c r="G88">
        <v>3</v>
      </c>
      <c r="H88" t="s">
        <v>623</v>
      </c>
      <c r="I88" t="e">
        <f>VLOOKUP($D88,Scopus!$A$2:$K$49,3,FALSE)</f>
        <v>#N/A</v>
      </c>
      <c r="J88" t="e">
        <f>VLOOKUP($D88,Scopus!$A$2:$K$49,10,FALSE)</f>
        <v>#N/A</v>
      </c>
      <c r="K88" t="e">
        <f>VLOOKUP($D88,Scopus!$A$2:$K$49,11,FALSE)</f>
        <v>#N/A</v>
      </c>
      <c r="L88" t="e">
        <f t="shared" si="1"/>
        <v>#N/A</v>
      </c>
    </row>
    <row r="89" spans="1:12" ht="42" x14ac:dyDescent="0.15">
      <c r="A89" t="s">
        <v>657</v>
      </c>
      <c r="B89" t="s">
        <v>658</v>
      </c>
      <c r="C89">
        <v>2026</v>
      </c>
      <c r="D89" t="s">
        <v>659</v>
      </c>
      <c r="E89" t="s">
        <v>640</v>
      </c>
      <c r="F89" t="s">
        <v>75</v>
      </c>
      <c r="G89">
        <v>1</v>
      </c>
      <c r="H89" t="s">
        <v>661</v>
      </c>
      <c r="I89" t="str">
        <f>VLOOKUP($D89,Scopus!$A$2:$K$49,3,FALSE)</f>
        <v>97.0%
6/198
Control and Optimization</v>
      </c>
      <c r="J89" t="str">
        <f>VLOOKUP($D89,Scopus!$A$2:$K$49,10,FALSE)</f>
        <v>Q2</v>
      </c>
      <c r="K89" t="str">
        <f>VLOOKUP($D89,Scopus!$A$2:$K$49,11,FALSE)</f>
        <v>2224-2708</v>
      </c>
      <c r="L89" t="e">
        <f t="shared" si="1"/>
        <v>#N/A</v>
      </c>
    </row>
    <row r="90" spans="1:12" ht="42" x14ac:dyDescent="0.15">
      <c r="A90" t="s">
        <v>103</v>
      </c>
      <c r="B90" t="s">
        <v>104</v>
      </c>
      <c r="C90">
        <v>2026</v>
      </c>
      <c r="D90" t="s">
        <v>105</v>
      </c>
      <c r="E90" t="s">
        <v>91</v>
      </c>
      <c r="F90" t="s">
        <v>32</v>
      </c>
      <c r="H90" t="s">
        <v>106</v>
      </c>
      <c r="I90" t="e">
        <f>VLOOKUP($D90,Scopus!$A$2:$K$49,3,FALSE)</f>
        <v>#N/A</v>
      </c>
      <c r="J90" t="e">
        <f>VLOOKUP($D90,Scopus!$A$2:$K$49,10,FALSE)</f>
        <v>#N/A</v>
      </c>
      <c r="K90" t="e">
        <f>VLOOKUP($D90,Scopus!$A$2:$K$49,11,FALSE)</f>
        <v>#N/A</v>
      </c>
      <c r="L90" t="e">
        <f t="shared" si="1"/>
        <v>#N/A</v>
      </c>
    </row>
    <row r="91" spans="1:12" ht="42" x14ac:dyDescent="0.15">
      <c r="A91" t="s">
        <v>210</v>
      </c>
      <c r="B91" t="s">
        <v>211</v>
      </c>
      <c r="C91">
        <v>2021</v>
      </c>
      <c r="D91" t="s">
        <v>212</v>
      </c>
      <c r="E91" t="s">
        <v>155</v>
      </c>
      <c r="F91" t="s">
        <v>32</v>
      </c>
      <c r="H91" t="s">
        <v>213</v>
      </c>
      <c r="I91" t="e">
        <f>VLOOKUP($D91,Scopus!$A$2:$K$49,3,FALSE)</f>
        <v>#N/A</v>
      </c>
      <c r="J91" t="e">
        <f>VLOOKUP($D91,Scopus!$A$2:$K$49,10,FALSE)</f>
        <v>#N/A</v>
      </c>
      <c r="K91" t="e">
        <f>VLOOKUP($D91,Scopus!$A$2:$K$49,11,FALSE)</f>
        <v>#N/A</v>
      </c>
      <c r="L91" t="e">
        <f t="shared" si="1"/>
        <v>#N/A</v>
      </c>
    </row>
    <row r="92" spans="1:12" ht="42" x14ac:dyDescent="0.15">
      <c r="A92" t="s">
        <v>215</v>
      </c>
      <c r="B92" t="s">
        <v>216</v>
      </c>
      <c r="C92">
        <v>2020</v>
      </c>
      <c r="D92" s="31" t="s">
        <v>1559</v>
      </c>
      <c r="E92" t="s">
        <v>155</v>
      </c>
      <c r="F92" t="s">
        <v>75</v>
      </c>
      <c r="H92" t="s">
        <v>218</v>
      </c>
      <c r="I92" t="str">
        <f>VLOOKUP($D92,Scopus!$A$2:$K$49,3,FALSE)</f>
        <v>76.0%
137/570
Artificial Intelligence</v>
      </c>
      <c r="J92" t="str">
        <f>VLOOKUP($D92,Scopus!$A$2:$K$49,10,FALSE)</f>
        <v>Q2</v>
      </c>
      <c r="K92" t="str">
        <f>VLOOKUP($D92,Scopus!$A$2:$K$49,11,FALSE)</f>
        <v>1387-2532</v>
      </c>
      <c r="L92" t="e">
        <f t="shared" si="1"/>
        <v>#N/A</v>
      </c>
    </row>
    <row r="93" spans="1:12" ht="42" x14ac:dyDescent="0.15">
      <c r="A93" t="s">
        <v>341</v>
      </c>
      <c r="B93" t="s">
        <v>342</v>
      </c>
      <c r="C93">
        <v>2025</v>
      </c>
      <c r="D93" s="31" t="s">
        <v>1266</v>
      </c>
      <c r="E93" t="s">
        <v>321</v>
      </c>
      <c r="F93" t="s">
        <v>75</v>
      </c>
      <c r="H93" t="s">
        <v>344</v>
      </c>
      <c r="I93" t="str">
        <f>VLOOKUP($D93,Scopus!$A$2:$K$49,3,FALSE)</f>
        <v xml:space="preserve">87.0%
29/223
</v>
      </c>
      <c r="J93" t="str">
        <f>VLOOKUP($D93,Scopus!$A$2:$K$49,10,FALSE)</f>
        <v>Q1</v>
      </c>
      <c r="K93" t="str">
        <f>VLOOKUP($D93,Scopus!$A$2:$K$49,11,FALSE)</f>
        <v>2045-2322</v>
      </c>
      <c r="L93" t="e">
        <f t="shared" si="1"/>
        <v>#N/A</v>
      </c>
    </row>
    <row r="94" spans="1:12" ht="42" x14ac:dyDescent="0.15">
      <c r="A94" t="s">
        <v>940</v>
      </c>
      <c r="B94" t="s">
        <v>941</v>
      </c>
      <c r="C94">
        <v>2023</v>
      </c>
      <c r="D94" s="31" t="s">
        <v>1535</v>
      </c>
      <c r="E94" t="s">
        <v>640</v>
      </c>
      <c r="F94" t="s">
        <v>32</v>
      </c>
      <c r="H94" t="s">
        <v>943</v>
      </c>
      <c r="I94" t="str">
        <f>VLOOKUP($D94,Scopus!$A$2:$K$49,3,FALSE)</f>
        <v>92.0%
36/503
Software</v>
      </c>
      <c r="J94" t="str">
        <f>VLOOKUP($D94,Scopus!$A$2:$K$49,10,FALSE)</f>
        <v>Q1</v>
      </c>
      <c r="K94" t="str">
        <f>VLOOKUP($D94,Scopus!$A$2:$K$49,11,FALSE)</f>
        <v>0098-5589</v>
      </c>
      <c r="L94" t="e">
        <f t="shared" si="1"/>
        <v>#N/A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897AC-0D98-5940-8978-88968BDD1059}">
  <dimension ref="A1:Z94"/>
  <sheetViews>
    <sheetView topLeftCell="A55" workbookViewId="0">
      <selection activeCell="D63" sqref="D63"/>
    </sheetView>
  </sheetViews>
  <sheetFormatPr baseColWidth="10" defaultColWidth="84.6640625" defaultRowHeight="13" x14ac:dyDescent="0.15"/>
  <cols>
    <col min="3" max="3" width="5.1640625" bestFit="1" customWidth="1"/>
    <col min="4" max="4" width="63.1640625" bestFit="1" customWidth="1"/>
    <col min="5" max="5" width="20.1640625" bestFit="1" customWidth="1"/>
    <col min="6" max="6" width="21" bestFit="1" customWidth="1"/>
    <col min="7" max="7" width="7.33203125" bestFit="1" customWidth="1"/>
    <col min="8" max="8" width="28.33203125" bestFit="1" customWidth="1"/>
    <col min="9" max="9" width="39.6640625" customWidth="1"/>
    <col min="10" max="10" width="10.33203125" bestFit="1" customWidth="1"/>
    <col min="11" max="11" width="11.5" bestFit="1" customWidth="1"/>
    <col min="13" max="13" width="4.33203125" bestFit="1" customWidth="1"/>
    <col min="15" max="15" width="61.1640625" bestFit="1" customWidth="1"/>
    <col min="16" max="16" width="28.33203125" bestFit="1" customWidth="1"/>
    <col min="17" max="17" width="16.6640625" bestFit="1" customWidth="1"/>
    <col min="18" max="18" width="16" bestFit="1" customWidth="1"/>
    <col min="19" max="19" width="11.5" bestFit="1" customWidth="1"/>
    <col min="20" max="20" width="11.83203125" bestFit="1" customWidth="1"/>
    <col min="21" max="21" width="5.1640625" bestFit="1" customWidth="1"/>
    <col min="22" max="22" width="16.5" bestFit="1" customWidth="1"/>
    <col min="23" max="23" width="15.5" bestFit="1" customWidth="1"/>
    <col min="24" max="24" width="14.6640625" bestFit="1" customWidth="1"/>
    <col min="25" max="25" width="20.6640625" bestFit="1" customWidth="1"/>
    <col min="26" max="26" width="4.33203125" bestFit="1" customWidth="1"/>
  </cols>
  <sheetData>
    <row r="1" spans="1:26" ht="28" x14ac:dyDescent="0.1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1398</v>
      </c>
      <c r="J1" t="s">
        <v>1399</v>
      </c>
      <c r="K1" t="s">
        <v>1400</v>
      </c>
      <c r="M1" s="24" t="s">
        <v>1393</v>
      </c>
      <c r="N1" s="24" t="s">
        <v>1394</v>
      </c>
      <c r="O1" s="24" t="s">
        <v>1395</v>
      </c>
      <c r="P1" s="24" t="s">
        <v>1396</v>
      </c>
      <c r="Q1" s="24" t="s">
        <v>1397</v>
      </c>
      <c r="R1" s="24" t="s">
        <v>1398</v>
      </c>
      <c r="S1" s="24" t="s">
        <v>1399</v>
      </c>
      <c r="T1" s="24" t="s">
        <v>1400</v>
      </c>
      <c r="U1" s="24" t="s">
        <v>1401</v>
      </c>
      <c r="V1" s="24" t="s">
        <v>1402</v>
      </c>
      <c r="W1" s="24" t="s">
        <v>1403</v>
      </c>
      <c r="X1" s="24" t="s">
        <v>1404</v>
      </c>
      <c r="Y1" s="24" t="s">
        <v>1405</v>
      </c>
      <c r="Z1" s="24" t="s">
        <v>1393</v>
      </c>
    </row>
    <row r="2" spans="1:26" ht="42" x14ac:dyDescent="0.15">
      <c r="A2" t="s">
        <v>1176</v>
      </c>
      <c r="B2" t="s">
        <v>1177</v>
      </c>
      <c r="C2">
        <v>2025</v>
      </c>
      <c r="D2" t="s">
        <v>1178</v>
      </c>
      <c r="E2" t="s">
        <v>1053</v>
      </c>
      <c r="F2" t="s">
        <v>32</v>
      </c>
      <c r="G2">
        <v>51</v>
      </c>
      <c r="H2" t="s">
        <v>1180</v>
      </c>
      <c r="I2" t="str">
        <f>VLOOKUP($D2,Scopus!$A$2:$K$49,3,FALSE)</f>
        <v>97.0%
14/541
Communication</v>
      </c>
      <c r="J2" t="str">
        <f>VLOOKUP($D2,Scopus!$A$2:$K$49,10,FALSE)</f>
        <v>Q1</v>
      </c>
      <c r="K2" t="str">
        <f>VLOOKUP($D2,Scopus!$A$2:$K$49,11,FALSE)</f>
        <v>0308-5961</v>
      </c>
      <c r="L2" t="e">
        <f>VLOOKUP(H2,$M$1:$Z$40,14,FALSE)</f>
        <v>#N/A</v>
      </c>
      <c r="M2" s="24" t="s">
        <v>1406</v>
      </c>
      <c r="N2" s="25" t="s">
        <v>1407</v>
      </c>
      <c r="O2" s="25" t="s">
        <v>831</v>
      </c>
      <c r="P2" s="25" t="s">
        <v>833</v>
      </c>
      <c r="Q2" s="25" t="s">
        <v>1408</v>
      </c>
      <c r="R2" s="26">
        <v>0.77</v>
      </c>
      <c r="S2" s="25" t="s">
        <v>1409</v>
      </c>
      <c r="T2" s="25" t="s">
        <v>1410</v>
      </c>
      <c r="U2" s="25">
        <v>2025</v>
      </c>
      <c r="V2" s="25">
        <v>19</v>
      </c>
      <c r="W2" s="25">
        <v>21</v>
      </c>
      <c r="X2" s="25" t="s">
        <v>1411</v>
      </c>
      <c r="Y2" s="27">
        <v>46230</v>
      </c>
      <c r="Z2" s="24" t="s">
        <v>1406</v>
      </c>
    </row>
    <row r="3" spans="1:26" ht="42" x14ac:dyDescent="0.15">
      <c r="A3" t="s">
        <v>381</v>
      </c>
      <c r="B3" t="s">
        <v>382</v>
      </c>
      <c r="C3">
        <v>2024</v>
      </c>
      <c r="D3" t="s">
        <v>383</v>
      </c>
      <c r="E3" t="s">
        <v>321</v>
      </c>
      <c r="F3" t="s">
        <v>17</v>
      </c>
      <c r="G3">
        <v>506</v>
      </c>
      <c r="H3" t="s">
        <v>385</v>
      </c>
      <c r="I3" t="str">
        <f>VLOOKUP($D3,Scopus!$A$2:$K$49,3,FALSE)</f>
        <v>99.0%
1/241
General Computer Science</v>
      </c>
      <c r="J3" t="str">
        <f>VLOOKUP($D3,Scopus!$A$2:$K$49,10,FALSE)</f>
        <v>Q1</v>
      </c>
      <c r="K3" t="str">
        <f>VLOOKUP($D3,Scopus!$A$2:$K$49,11,FALSE)</f>
        <v>0360-0300</v>
      </c>
      <c r="L3" t="e">
        <f t="shared" ref="L3:L66" si="0">VLOOKUP(H3,$M$1:$Z$40,14,FALSE)</f>
        <v>#N/A</v>
      </c>
      <c r="M3" s="24" t="s">
        <v>1412</v>
      </c>
      <c r="N3" s="25" t="s">
        <v>853</v>
      </c>
      <c r="O3" s="25" t="s">
        <v>855</v>
      </c>
      <c r="P3" s="25" t="s">
        <v>857</v>
      </c>
      <c r="Q3" s="25" t="s">
        <v>1413</v>
      </c>
      <c r="R3" s="26">
        <v>0.88</v>
      </c>
      <c r="S3" s="25" t="s">
        <v>1409</v>
      </c>
      <c r="T3" s="25" t="s">
        <v>1414</v>
      </c>
      <c r="U3" s="25">
        <v>2025</v>
      </c>
      <c r="V3" s="25">
        <v>180</v>
      </c>
      <c r="W3" s="25">
        <v>190</v>
      </c>
      <c r="X3" s="25">
        <v>175</v>
      </c>
      <c r="Y3" s="27">
        <v>46230</v>
      </c>
      <c r="Z3" s="24" t="s">
        <v>1412</v>
      </c>
    </row>
    <row r="4" spans="1:26" ht="42" x14ac:dyDescent="0.15">
      <c r="A4" t="s">
        <v>48</v>
      </c>
      <c r="B4" t="s">
        <v>49</v>
      </c>
      <c r="C4">
        <v>2025</v>
      </c>
      <c r="D4" t="s">
        <v>50</v>
      </c>
      <c r="E4" t="s">
        <v>16</v>
      </c>
      <c r="F4" t="s">
        <v>32</v>
      </c>
      <c r="G4">
        <v>59</v>
      </c>
      <c r="H4" t="s">
        <v>52</v>
      </c>
      <c r="I4" t="str">
        <f>VLOOKUP($D4,Scopus!$A$2:$K$49,3,FALSE)</f>
        <v>97.0%
10/351
General Engineering</v>
      </c>
      <c r="J4" t="str">
        <f>VLOOKUP($D4,Scopus!$A$2:$K$49,10,FALSE)</f>
        <v>Q1</v>
      </c>
      <c r="K4" t="str">
        <f>VLOOKUP($D4,Scopus!$A$2:$K$49,11,FALSE)</f>
        <v>0957-4174</v>
      </c>
      <c r="L4" t="e">
        <f t="shared" si="0"/>
        <v>#N/A</v>
      </c>
      <c r="M4" s="24" t="s">
        <v>1415</v>
      </c>
      <c r="N4" s="25" t="s">
        <v>1416</v>
      </c>
      <c r="O4" s="25" t="s">
        <v>1192</v>
      </c>
      <c r="P4" s="25" t="s">
        <v>1194</v>
      </c>
      <c r="Q4" s="25" t="s">
        <v>1408</v>
      </c>
      <c r="R4" s="26">
        <v>0.78</v>
      </c>
      <c r="S4" s="25" t="s">
        <v>1417</v>
      </c>
      <c r="T4" s="25" t="s">
        <v>1418</v>
      </c>
      <c r="U4" s="25">
        <v>2025</v>
      </c>
      <c r="V4" s="25">
        <v>38</v>
      </c>
      <c r="W4" s="25">
        <v>45</v>
      </c>
      <c r="X4" s="25">
        <v>39</v>
      </c>
      <c r="Y4" s="27">
        <v>46230</v>
      </c>
      <c r="Z4" s="24" t="s">
        <v>1415</v>
      </c>
    </row>
    <row r="5" spans="1:26" ht="42" x14ac:dyDescent="0.15">
      <c r="A5" t="s">
        <v>54</v>
      </c>
      <c r="B5" t="s">
        <v>55</v>
      </c>
      <c r="C5">
        <v>2025</v>
      </c>
      <c r="D5" t="s">
        <v>56</v>
      </c>
      <c r="E5" t="s">
        <v>16</v>
      </c>
      <c r="F5" t="s">
        <v>32</v>
      </c>
      <c r="G5">
        <v>177</v>
      </c>
      <c r="H5" t="s">
        <v>58</v>
      </c>
      <c r="I5" t="str">
        <f>VLOOKUP($D5,Scopus!$A$2:$K$49,3,FALSE)</f>
        <v>89.0%
53/503
Software</v>
      </c>
      <c r="J5" t="str">
        <f>VLOOKUP($D5,Scopus!$A$2:$K$49,10,FALSE)</f>
        <v>Q1</v>
      </c>
      <c r="K5" t="str">
        <f>VLOOKUP($D5,Scopus!$A$2:$K$49,11,FALSE)</f>
        <v>1049-331X</v>
      </c>
      <c r="L5" t="e">
        <f t="shared" si="0"/>
        <v>#N/A</v>
      </c>
      <c r="M5" s="24" t="s">
        <v>1419</v>
      </c>
      <c r="N5" s="25" t="s">
        <v>1420</v>
      </c>
      <c r="O5" s="25" t="s">
        <v>1421</v>
      </c>
      <c r="P5" s="25" t="s">
        <v>58</v>
      </c>
      <c r="Q5" s="25" t="s">
        <v>1408</v>
      </c>
      <c r="R5" s="26">
        <v>0.82</v>
      </c>
      <c r="S5" s="25" t="s">
        <v>1409</v>
      </c>
      <c r="T5" s="25" t="s">
        <v>1422</v>
      </c>
      <c r="U5" s="25">
        <v>2024</v>
      </c>
      <c r="V5" s="25">
        <v>144</v>
      </c>
      <c r="W5" s="25">
        <v>173</v>
      </c>
      <c r="X5" s="25">
        <v>134</v>
      </c>
      <c r="Y5" s="27">
        <v>46230</v>
      </c>
      <c r="Z5" s="24" t="s">
        <v>1419</v>
      </c>
    </row>
    <row r="6" spans="1:26" ht="42" x14ac:dyDescent="0.15">
      <c r="A6" t="s">
        <v>37</v>
      </c>
      <c r="B6" t="s">
        <v>38</v>
      </c>
      <c r="C6">
        <v>2025</v>
      </c>
      <c r="D6" t="s">
        <v>39</v>
      </c>
      <c r="E6" t="s">
        <v>16</v>
      </c>
      <c r="F6" t="s">
        <v>17</v>
      </c>
      <c r="G6">
        <v>169</v>
      </c>
      <c r="H6" t="s">
        <v>41</v>
      </c>
      <c r="I6" t="str">
        <f>VLOOKUP($D6,Scopus!$A$2:$K$49,3,FALSE)</f>
        <v>99.0%
1/203
Signal Processing</v>
      </c>
      <c r="J6" t="str">
        <f>VLOOKUP($D6,Scopus!$A$2:$K$49,10,FALSE)</f>
        <v>Q1</v>
      </c>
      <c r="K6" t="str">
        <f>VLOOKUP($D6,Scopus!$A$2:$K$49,11,FALSE)</f>
        <v>1566-2535</v>
      </c>
      <c r="L6" t="e">
        <f t="shared" si="0"/>
        <v>#N/A</v>
      </c>
      <c r="M6" s="24" t="s">
        <v>1423</v>
      </c>
      <c r="N6" s="25" t="s">
        <v>1327</v>
      </c>
      <c r="O6" s="25" t="s">
        <v>383</v>
      </c>
      <c r="P6" s="25" t="s">
        <v>1329</v>
      </c>
      <c r="Q6" s="25" t="s">
        <v>1413</v>
      </c>
      <c r="R6" s="26">
        <v>0.99</v>
      </c>
      <c r="S6" s="25" t="s">
        <v>1409</v>
      </c>
      <c r="T6" s="25" t="s">
        <v>1424</v>
      </c>
      <c r="U6" s="25">
        <v>2025</v>
      </c>
      <c r="V6" s="25">
        <v>19</v>
      </c>
      <c r="W6" s="25">
        <v>28</v>
      </c>
      <c r="X6" s="25">
        <v>24</v>
      </c>
      <c r="Y6" s="27">
        <v>46230</v>
      </c>
      <c r="Z6" s="24" t="s">
        <v>1423</v>
      </c>
    </row>
    <row r="7" spans="1:26" ht="42" x14ac:dyDescent="0.15">
      <c r="A7" t="s">
        <v>547</v>
      </c>
      <c r="B7" t="s">
        <v>548</v>
      </c>
      <c r="C7">
        <v>2020</v>
      </c>
      <c r="D7" t="s">
        <v>549</v>
      </c>
      <c r="E7" t="s">
        <v>321</v>
      </c>
      <c r="F7" t="s">
        <v>32</v>
      </c>
      <c r="G7">
        <v>217</v>
      </c>
      <c r="H7" t="s">
        <v>551</v>
      </c>
      <c r="I7" t="str">
        <f>VLOOKUP($D7,Scopus!$A$2:$K$49,3,FALSE)</f>
        <v>93.0%
17/245
Hardware and Architecture</v>
      </c>
      <c r="J7" t="str">
        <f>VLOOKUP($D7,Scopus!$A$2:$K$49,10,FALSE)</f>
        <v>Q1</v>
      </c>
      <c r="K7" t="str">
        <f>VLOOKUP($D7,Scopus!$A$2:$K$49,11,FALSE)</f>
        <v>1939-1374</v>
      </c>
      <c r="L7" t="e">
        <f t="shared" si="0"/>
        <v>#N/A</v>
      </c>
      <c r="M7" s="24" t="s">
        <v>1425</v>
      </c>
      <c r="N7" s="25" t="s">
        <v>843</v>
      </c>
      <c r="O7" s="25" t="s">
        <v>25</v>
      </c>
      <c r="P7" s="25" t="s">
        <v>846</v>
      </c>
      <c r="Q7" s="25" t="s">
        <v>1413</v>
      </c>
      <c r="R7" s="26">
        <v>0.9</v>
      </c>
      <c r="S7" s="25" t="s">
        <v>1409</v>
      </c>
      <c r="T7" s="25" t="s">
        <v>1426</v>
      </c>
      <c r="U7" s="25">
        <v>2025</v>
      </c>
      <c r="V7" s="25">
        <v>48</v>
      </c>
      <c r="W7" s="25">
        <v>57</v>
      </c>
      <c r="X7" s="25">
        <v>44</v>
      </c>
      <c r="Y7" s="27">
        <v>46230</v>
      </c>
      <c r="Z7" s="24" t="s">
        <v>1425</v>
      </c>
    </row>
    <row r="8" spans="1:26" ht="42" x14ac:dyDescent="0.15">
      <c r="A8" t="s">
        <v>796</v>
      </c>
      <c r="B8" t="s">
        <v>797</v>
      </c>
      <c r="C8">
        <v>2025</v>
      </c>
      <c r="D8" t="s">
        <v>549</v>
      </c>
      <c r="E8" t="s">
        <v>640</v>
      </c>
      <c r="F8" t="s">
        <v>32</v>
      </c>
      <c r="G8">
        <v>7</v>
      </c>
      <c r="H8" t="s">
        <v>798</v>
      </c>
      <c r="I8" t="str">
        <f>VLOOKUP($D8,Scopus!$A$2:$K$49,3,FALSE)</f>
        <v>93.0%
17/245
Hardware and Architecture</v>
      </c>
      <c r="J8" t="str">
        <f>VLOOKUP($D8,Scopus!$A$2:$K$49,10,FALSE)</f>
        <v>Q1</v>
      </c>
      <c r="K8" t="str">
        <f>VLOOKUP($D8,Scopus!$A$2:$K$49,11,FALSE)</f>
        <v>1939-1374</v>
      </c>
      <c r="L8" t="e">
        <f t="shared" si="0"/>
        <v>#N/A</v>
      </c>
      <c r="M8" s="24" t="s">
        <v>1427</v>
      </c>
      <c r="N8" s="25" t="s">
        <v>84</v>
      </c>
      <c r="O8" s="25" t="s">
        <v>25</v>
      </c>
      <c r="P8" s="25" t="s">
        <v>87</v>
      </c>
      <c r="Q8" s="25" t="s">
        <v>1413</v>
      </c>
      <c r="R8" s="26">
        <v>0.9</v>
      </c>
      <c r="S8" s="25" t="s">
        <v>1409</v>
      </c>
      <c r="T8" s="25" t="s">
        <v>1426</v>
      </c>
      <c r="U8" s="25">
        <v>2020</v>
      </c>
      <c r="V8" s="25">
        <v>10</v>
      </c>
      <c r="W8" s="25">
        <v>9</v>
      </c>
      <c r="X8" s="25">
        <v>8</v>
      </c>
      <c r="Y8" s="27">
        <v>46230</v>
      </c>
      <c r="Z8" s="24" t="s">
        <v>1427</v>
      </c>
    </row>
    <row r="9" spans="1:26" ht="42" x14ac:dyDescent="0.15">
      <c r="A9" t="s">
        <v>1003</v>
      </c>
      <c r="B9" t="s">
        <v>1004</v>
      </c>
      <c r="C9">
        <v>2025</v>
      </c>
      <c r="D9" t="s">
        <v>549</v>
      </c>
      <c r="E9" t="s">
        <v>957</v>
      </c>
      <c r="F9" t="s">
        <v>32</v>
      </c>
      <c r="G9">
        <v>0</v>
      </c>
      <c r="H9" t="s">
        <v>1005</v>
      </c>
      <c r="I9" t="str">
        <f>VLOOKUP($D9,Scopus!$A$2:$K$49,3,FALSE)</f>
        <v>93.0%
17/245
Hardware and Architecture</v>
      </c>
      <c r="J9" t="str">
        <f>VLOOKUP($D9,Scopus!$A$2:$K$49,10,FALSE)</f>
        <v>Q1</v>
      </c>
      <c r="K9" t="str">
        <f>VLOOKUP($D9,Scopus!$A$2:$K$49,11,FALSE)</f>
        <v>1939-1374</v>
      </c>
      <c r="L9" t="e">
        <f t="shared" si="0"/>
        <v>#N/A</v>
      </c>
      <c r="M9" s="24" t="s">
        <v>1428</v>
      </c>
      <c r="N9" s="25" t="s">
        <v>610</v>
      </c>
      <c r="O9" s="25" t="s">
        <v>25</v>
      </c>
      <c r="P9" s="25" t="s">
        <v>613</v>
      </c>
      <c r="Q9" s="25" t="s">
        <v>1413</v>
      </c>
      <c r="R9" s="26">
        <v>0.9</v>
      </c>
      <c r="S9" s="25" t="s">
        <v>1409</v>
      </c>
      <c r="T9" s="25" t="s">
        <v>1426</v>
      </c>
      <c r="U9" s="25">
        <v>2024</v>
      </c>
      <c r="V9" s="25">
        <v>135</v>
      </c>
      <c r="W9" s="25">
        <v>134</v>
      </c>
      <c r="X9" s="25">
        <v>141</v>
      </c>
      <c r="Y9" s="27">
        <v>46230</v>
      </c>
      <c r="Z9" s="24" t="s">
        <v>1428</v>
      </c>
    </row>
    <row r="10" spans="1:26" ht="42" x14ac:dyDescent="0.15">
      <c r="A10" t="s">
        <v>1190</v>
      </c>
      <c r="B10" t="s">
        <v>1191</v>
      </c>
      <c r="C10">
        <v>2025</v>
      </c>
      <c r="D10" t="s">
        <v>1192</v>
      </c>
      <c r="E10" t="s">
        <v>1053</v>
      </c>
      <c r="F10" t="s">
        <v>32</v>
      </c>
      <c r="G10">
        <v>44</v>
      </c>
      <c r="H10" t="s">
        <v>1194</v>
      </c>
      <c r="I10" t="str">
        <f>VLOOKUP($D10,Scopus!$A$2:$K$49,3,FALSE)</f>
        <v>84.0%
34/212
Computational Mathematics</v>
      </c>
      <c r="J10" t="str">
        <f>VLOOKUP($D10,Scopus!$A$2:$K$49,10,FALSE)</f>
        <v>Q2</v>
      </c>
      <c r="K10" t="str">
        <f>VLOOKUP($D10,Scopus!$A$2:$K$49,11,FALSE)</f>
        <v>1999-4893</v>
      </c>
      <c r="L10" t="e">
        <f t="shared" si="0"/>
        <v>#N/A</v>
      </c>
      <c r="M10" s="24" t="s">
        <v>1429</v>
      </c>
      <c r="N10" s="25" t="s">
        <v>37</v>
      </c>
      <c r="O10" s="25" t="s">
        <v>39</v>
      </c>
      <c r="P10" s="25" t="s">
        <v>41</v>
      </c>
      <c r="Q10" s="25" t="s">
        <v>1413</v>
      </c>
      <c r="R10" s="26">
        <v>0.99</v>
      </c>
      <c r="S10" s="25" t="s">
        <v>1409</v>
      </c>
      <c r="T10" s="25" t="s">
        <v>1430</v>
      </c>
      <c r="U10" s="25">
        <v>2025</v>
      </c>
      <c r="V10" s="25">
        <v>132</v>
      </c>
      <c r="W10" s="25">
        <v>149</v>
      </c>
      <c r="X10" s="25">
        <v>136</v>
      </c>
      <c r="Y10" s="27">
        <v>46230</v>
      </c>
      <c r="Z10" s="24" t="s">
        <v>1429</v>
      </c>
    </row>
    <row r="11" spans="1:26" ht="42" x14ac:dyDescent="0.15">
      <c r="A11" t="s">
        <v>1196</v>
      </c>
      <c r="B11" t="s">
        <v>1197</v>
      </c>
      <c r="C11">
        <v>2025</v>
      </c>
      <c r="D11" t="s">
        <v>1198</v>
      </c>
      <c r="E11" t="s">
        <v>1053</v>
      </c>
      <c r="F11" t="s">
        <v>32</v>
      </c>
      <c r="G11">
        <v>126</v>
      </c>
      <c r="H11" t="s">
        <v>1200</v>
      </c>
      <c r="I11" t="str">
        <f>VLOOKUP($D11,Scopus!$A$2:$K$49,3,FALSE)</f>
        <v>88.0%
65/568
Computer Networks and Communications</v>
      </c>
      <c r="J11" t="str">
        <f>VLOOKUP($D11,Scopus!$A$2:$K$49,10,FALSE)</f>
        <v>Q1</v>
      </c>
      <c r="K11" t="str">
        <f>VLOOKUP($D11,Scopus!$A$2:$K$49,11,FALSE)</f>
        <v>1999-5903</v>
      </c>
      <c r="L11" t="e">
        <f t="shared" si="0"/>
        <v>#N/A</v>
      </c>
      <c r="M11" s="24" t="s">
        <v>1431</v>
      </c>
      <c r="N11" s="25" t="s">
        <v>1432</v>
      </c>
      <c r="O11" s="25" t="s">
        <v>25</v>
      </c>
      <c r="P11" s="25" t="s">
        <v>851</v>
      </c>
      <c r="Q11" s="25" t="s">
        <v>1413</v>
      </c>
      <c r="R11" s="26">
        <v>0.9</v>
      </c>
      <c r="S11" s="25" t="s">
        <v>1409</v>
      </c>
      <c r="T11" s="25" t="s">
        <v>1426</v>
      </c>
      <c r="U11" s="25">
        <v>2025</v>
      </c>
      <c r="V11" s="25">
        <v>487</v>
      </c>
      <c r="W11" s="25">
        <v>534</v>
      </c>
      <c r="X11" s="25">
        <v>509</v>
      </c>
      <c r="Y11" s="27">
        <v>46230</v>
      </c>
      <c r="Z11" s="24" t="s">
        <v>1431</v>
      </c>
    </row>
    <row r="12" spans="1:26" ht="42" x14ac:dyDescent="0.15">
      <c r="A12" t="s">
        <v>829</v>
      </c>
      <c r="B12" t="s">
        <v>830</v>
      </c>
      <c r="C12">
        <v>2025</v>
      </c>
      <c r="D12" t="s">
        <v>831</v>
      </c>
      <c r="E12" t="s">
        <v>640</v>
      </c>
      <c r="F12" t="s">
        <v>32</v>
      </c>
      <c r="G12">
        <v>21</v>
      </c>
      <c r="H12" t="s">
        <v>833</v>
      </c>
      <c r="I12" t="str">
        <f>VLOOKUP($D12,Scopus!$A$2:$K$49,3,FALSE)</f>
        <v>79.0%
139/692
Arts and Humanities (miscellaneous)</v>
      </c>
      <c r="J12" t="str">
        <f>VLOOKUP($D12,Scopus!$A$2:$K$49,10,FALSE)</f>
        <v>Q1</v>
      </c>
      <c r="K12" t="str">
        <f>VLOOKUP($D12,Scopus!$A$2:$K$49,11,FALSE)</f>
        <v>2046-1402</v>
      </c>
      <c r="L12" t="e">
        <f t="shared" si="0"/>
        <v>#N/A</v>
      </c>
      <c r="M12" s="24" t="s">
        <v>1433</v>
      </c>
      <c r="N12" s="25" t="s">
        <v>68</v>
      </c>
      <c r="O12" s="25" t="s">
        <v>25</v>
      </c>
      <c r="P12" s="25" t="s">
        <v>71</v>
      </c>
      <c r="Q12" s="25" t="s">
        <v>1413</v>
      </c>
      <c r="R12" s="26">
        <v>0.9</v>
      </c>
      <c r="S12" s="25" t="s">
        <v>1409</v>
      </c>
      <c r="T12" s="25" t="s">
        <v>1426</v>
      </c>
      <c r="U12" s="25">
        <v>2024</v>
      </c>
      <c r="V12" s="25">
        <v>9</v>
      </c>
      <c r="W12" s="25">
        <v>9</v>
      </c>
      <c r="X12" s="25">
        <v>10</v>
      </c>
      <c r="Y12" s="27">
        <v>46230</v>
      </c>
      <c r="Z12" s="24" t="s">
        <v>1433</v>
      </c>
    </row>
    <row r="13" spans="1:26" ht="42" x14ac:dyDescent="0.15">
      <c r="A13" t="s">
        <v>1128</v>
      </c>
      <c r="B13" t="s">
        <v>830</v>
      </c>
      <c r="C13">
        <v>2025</v>
      </c>
      <c r="D13" t="s">
        <v>831</v>
      </c>
      <c r="E13" t="s">
        <v>1053</v>
      </c>
      <c r="F13" t="s">
        <v>17</v>
      </c>
      <c r="G13">
        <v>13</v>
      </c>
      <c r="H13" t="s">
        <v>1129</v>
      </c>
      <c r="I13" t="str">
        <f>VLOOKUP($D13,Scopus!$A$2:$K$49,3,FALSE)</f>
        <v>79.0%
139/692
Arts and Humanities (miscellaneous)</v>
      </c>
      <c r="J13" t="str">
        <f>VLOOKUP($D13,Scopus!$A$2:$K$49,10,FALSE)</f>
        <v>Q1</v>
      </c>
      <c r="K13" t="str">
        <f>VLOOKUP($D13,Scopus!$A$2:$K$49,11,FALSE)</f>
        <v>2046-1402</v>
      </c>
      <c r="L13" t="e">
        <f t="shared" si="0"/>
        <v>#N/A</v>
      </c>
      <c r="M13" s="24" t="s">
        <v>1434</v>
      </c>
      <c r="N13" s="25" t="s">
        <v>1435</v>
      </c>
      <c r="O13" s="25" t="s">
        <v>25</v>
      </c>
      <c r="P13" s="25" t="s">
        <v>1225</v>
      </c>
      <c r="Q13" s="25" t="s">
        <v>1413</v>
      </c>
      <c r="R13" s="26">
        <v>0.9</v>
      </c>
      <c r="S13" s="25" t="s">
        <v>1409</v>
      </c>
      <c r="T13" s="25" t="s">
        <v>1426</v>
      </c>
      <c r="U13" s="25">
        <v>2024</v>
      </c>
      <c r="V13" s="25">
        <v>86</v>
      </c>
      <c r="W13" s="25">
        <v>93</v>
      </c>
      <c r="X13" s="25">
        <v>101</v>
      </c>
      <c r="Y13" s="27">
        <v>46230</v>
      </c>
      <c r="Z13" s="24" t="s">
        <v>1434</v>
      </c>
    </row>
    <row r="14" spans="1:26" ht="42" x14ac:dyDescent="0.15">
      <c r="A14" t="s">
        <v>758</v>
      </c>
      <c r="B14" t="s">
        <v>759</v>
      </c>
      <c r="C14">
        <v>2025</v>
      </c>
      <c r="D14" t="s">
        <v>268</v>
      </c>
      <c r="E14" t="s">
        <v>640</v>
      </c>
      <c r="F14" t="s">
        <v>75</v>
      </c>
      <c r="G14">
        <v>24</v>
      </c>
      <c r="H14" t="s">
        <v>760</v>
      </c>
      <c r="I14" t="str">
        <f>VLOOKUP($D14,Scopus!$A$2:$K$49,3,FALSE)</f>
        <v>83.0%
35/203
Signal Processing</v>
      </c>
      <c r="J14" t="str">
        <f>VLOOKUP($D14,Scopus!$A$2:$K$49,10,FALSE)</f>
        <v>Q2</v>
      </c>
      <c r="K14" t="str">
        <f>VLOOKUP($D14,Scopus!$A$2:$K$49,11,FALSE)</f>
        <v>2079-9292</v>
      </c>
      <c r="L14" t="e">
        <f t="shared" si="0"/>
        <v>#N/A</v>
      </c>
      <c r="M14" s="24" t="s">
        <v>1436</v>
      </c>
      <c r="N14" s="25" t="s">
        <v>1437</v>
      </c>
      <c r="O14" s="25" t="s">
        <v>25</v>
      </c>
      <c r="P14" s="25" t="s">
        <v>274</v>
      </c>
      <c r="Q14" s="25" t="s">
        <v>1413</v>
      </c>
      <c r="R14" s="26">
        <v>0.9</v>
      </c>
      <c r="S14" s="25" t="s">
        <v>1409</v>
      </c>
      <c r="T14" s="25" t="s">
        <v>1426</v>
      </c>
      <c r="U14" s="25">
        <v>2025</v>
      </c>
      <c r="V14" s="25">
        <v>29</v>
      </c>
      <c r="W14" s="25">
        <v>33</v>
      </c>
      <c r="X14" s="25">
        <v>31</v>
      </c>
      <c r="Y14" s="27">
        <v>46230</v>
      </c>
      <c r="Z14" s="24" t="s">
        <v>1436</v>
      </c>
    </row>
    <row r="15" spans="1:26" ht="42" x14ac:dyDescent="0.15">
      <c r="A15" t="s">
        <v>266</v>
      </c>
      <c r="B15" t="s">
        <v>267</v>
      </c>
      <c r="C15">
        <v>2025</v>
      </c>
      <c r="D15" t="s">
        <v>268</v>
      </c>
      <c r="E15" t="s">
        <v>237</v>
      </c>
      <c r="F15" t="s">
        <v>32</v>
      </c>
      <c r="G15">
        <v>0</v>
      </c>
      <c r="H15" t="s">
        <v>269</v>
      </c>
      <c r="I15" t="str">
        <f>VLOOKUP($D15,Scopus!$A$2:$K$49,3,FALSE)</f>
        <v>83.0%
35/203
Signal Processing</v>
      </c>
      <c r="J15" t="str">
        <f>VLOOKUP($D15,Scopus!$A$2:$K$49,10,FALSE)</f>
        <v>Q2</v>
      </c>
      <c r="K15" t="str">
        <f>VLOOKUP($D15,Scopus!$A$2:$K$49,11,FALSE)</f>
        <v>2079-9292</v>
      </c>
      <c r="L15" t="e">
        <f t="shared" si="0"/>
        <v>#N/A</v>
      </c>
      <c r="M15" s="24" t="s">
        <v>1438</v>
      </c>
      <c r="N15" s="25" t="s">
        <v>1439</v>
      </c>
      <c r="O15" s="25" t="s">
        <v>1178</v>
      </c>
      <c r="P15" s="25" t="s">
        <v>1180</v>
      </c>
      <c r="Q15" s="25" t="s">
        <v>1413</v>
      </c>
      <c r="R15" s="26">
        <v>0.97</v>
      </c>
      <c r="S15" s="25" t="s">
        <v>1409</v>
      </c>
      <c r="T15" s="25" t="s">
        <v>1440</v>
      </c>
      <c r="U15" s="25">
        <v>2025</v>
      </c>
      <c r="V15" s="25">
        <v>45</v>
      </c>
      <c r="W15" s="25">
        <v>48</v>
      </c>
      <c r="X15" s="25">
        <v>42</v>
      </c>
      <c r="Y15" s="27">
        <v>46230</v>
      </c>
      <c r="Z15" s="24" t="s">
        <v>1438</v>
      </c>
    </row>
    <row r="16" spans="1:26" ht="42" x14ac:dyDescent="0.15">
      <c r="A16" t="s">
        <v>460</v>
      </c>
      <c r="B16" t="s">
        <v>461</v>
      </c>
      <c r="C16">
        <v>2022</v>
      </c>
      <c r="D16" t="s">
        <v>25</v>
      </c>
      <c r="E16" t="s">
        <v>321</v>
      </c>
      <c r="F16" t="s">
        <v>75</v>
      </c>
      <c r="G16">
        <v>1060</v>
      </c>
      <c r="H16" t="s">
        <v>463</v>
      </c>
      <c r="I16" t="str">
        <f>VLOOKUP($D16,Scopus!$A$2:$K$49,3,FALSE)</f>
        <v>91.0%
31/351
General Engineering</v>
      </c>
      <c r="J16" t="str">
        <f>VLOOKUP($D16,Scopus!$A$2:$K$49,10,FALSE)</f>
        <v>Q1</v>
      </c>
      <c r="K16" t="str">
        <f>VLOOKUP($D16,Scopus!$A$2:$K$49,11,FALSE)</f>
        <v>2169-3536</v>
      </c>
      <c r="L16" t="e">
        <f t="shared" si="0"/>
        <v>#N/A</v>
      </c>
      <c r="M16" s="24" t="s">
        <v>1441</v>
      </c>
      <c r="N16" s="25" t="s">
        <v>1442</v>
      </c>
      <c r="O16" s="25" t="s">
        <v>1198</v>
      </c>
      <c r="P16" s="25" t="s">
        <v>1200</v>
      </c>
      <c r="Q16" s="25" t="s">
        <v>1408</v>
      </c>
      <c r="R16" s="26">
        <v>0.84</v>
      </c>
      <c r="S16" s="25" t="s">
        <v>1409</v>
      </c>
      <c r="T16" s="25" t="s">
        <v>1443</v>
      </c>
      <c r="U16" s="25">
        <v>2025</v>
      </c>
      <c r="V16" s="25">
        <v>101</v>
      </c>
      <c r="W16" s="25">
        <v>114</v>
      </c>
      <c r="X16" s="25">
        <v>87</v>
      </c>
      <c r="Y16" s="27">
        <v>46230</v>
      </c>
      <c r="Z16" s="24" t="s">
        <v>1441</v>
      </c>
    </row>
    <row r="17" spans="1:26" ht="42" x14ac:dyDescent="0.15">
      <c r="A17" t="s">
        <v>495</v>
      </c>
      <c r="B17" t="s">
        <v>496</v>
      </c>
      <c r="C17">
        <v>2021</v>
      </c>
      <c r="D17" t="s">
        <v>25</v>
      </c>
      <c r="E17" t="s">
        <v>321</v>
      </c>
      <c r="F17" t="s">
        <v>17</v>
      </c>
      <c r="G17">
        <v>576</v>
      </c>
      <c r="H17" t="s">
        <v>498</v>
      </c>
      <c r="I17" t="str">
        <f>VLOOKUP($D17,Scopus!$A$2:$K$49,3,FALSE)</f>
        <v>91.0%
31/351
General Engineering</v>
      </c>
      <c r="J17" t="str">
        <f>VLOOKUP($D17,Scopus!$A$2:$K$49,10,FALSE)</f>
        <v>Q1</v>
      </c>
      <c r="K17" t="str">
        <f>VLOOKUP($D17,Scopus!$A$2:$K$49,11,FALSE)</f>
        <v>2169-3536</v>
      </c>
      <c r="L17" t="e">
        <f t="shared" si="0"/>
        <v>#N/A</v>
      </c>
      <c r="M17" s="24" t="s">
        <v>1444</v>
      </c>
      <c r="N17" s="25" t="s">
        <v>1445</v>
      </c>
      <c r="O17" s="25" t="s">
        <v>383</v>
      </c>
      <c r="P17" s="25" t="s">
        <v>1446</v>
      </c>
      <c r="Q17" s="25" t="s">
        <v>1413</v>
      </c>
      <c r="R17" s="26">
        <v>0.99</v>
      </c>
      <c r="S17" s="25" t="s">
        <v>1409</v>
      </c>
      <c r="T17" s="25" t="s">
        <v>1424</v>
      </c>
      <c r="U17" s="25">
        <v>2023</v>
      </c>
      <c r="V17" s="25">
        <v>63</v>
      </c>
      <c r="W17" s="25">
        <v>68</v>
      </c>
      <c r="X17" s="25">
        <v>72</v>
      </c>
      <c r="Y17" s="27">
        <v>46230</v>
      </c>
      <c r="Z17" s="24" t="s">
        <v>1444</v>
      </c>
    </row>
    <row r="18" spans="1:26" ht="42" x14ac:dyDescent="0.15">
      <c r="A18" t="s">
        <v>848</v>
      </c>
      <c r="B18" t="s">
        <v>849</v>
      </c>
      <c r="C18">
        <v>2025</v>
      </c>
      <c r="D18" t="s">
        <v>25</v>
      </c>
      <c r="E18" t="s">
        <v>640</v>
      </c>
      <c r="F18" t="s">
        <v>32</v>
      </c>
      <c r="G18">
        <v>562</v>
      </c>
      <c r="H18" t="s">
        <v>851</v>
      </c>
      <c r="I18" t="str">
        <f>VLOOKUP($D18,Scopus!$A$2:$K$49,3,FALSE)</f>
        <v>91.0%
31/351
General Engineering</v>
      </c>
      <c r="J18" t="str">
        <f>VLOOKUP($D18,Scopus!$A$2:$K$49,10,FALSE)</f>
        <v>Q1</v>
      </c>
      <c r="K18" t="str">
        <f>VLOOKUP($D18,Scopus!$A$2:$K$49,11,FALSE)</f>
        <v>2169-3536</v>
      </c>
      <c r="L18" t="e">
        <f t="shared" si="0"/>
        <v>#N/A</v>
      </c>
      <c r="M18" s="24" t="s">
        <v>1447</v>
      </c>
      <c r="N18" s="25" t="s">
        <v>615</v>
      </c>
      <c r="O18" s="25" t="s">
        <v>25</v>
      </c>
      <c r="P18" s="25" t="s">
        <v>618</v>
      </c>
      <c r="Q18" s="25" t="s">
        <v>1413</v>
      </c>
      <c r="R18" s="26">
        <v>0.9</v>
      </c>
      <c r="S18" s="25" t="s">
        <v>1409</v>
      </c>
      <c r="T18" s="25" t="s">
        <v>1426</v>
      </c>
      <c r="U18" s="25">
        <v>2023</v>
      </c>
      <c r="V18" s="25">
        <v>300</v>
      </c>
      <c r="W18" s="25">
        <v>297</v>
      </c>
      <c r="X18" s="25">
        <v>290</v>
      </c>
      <c r="Y18" s="27">
        <v>46230</v>
      </c>
      <c r="Z18" s="24" t="s">
        <v>1447</v>
      </c>
    </row>
    <row r="19" spans="1:26" ht="42" x14ac:dyDescent="0.15">
      <c r="A19" t="s">
        <v>1242</v>
      </c>
      <c r="B19" t="s">
        <v>1243</v>
      </c>
      <c r="C19">
        <v>2021</v>
      </c>
      <c r="D19" t="s">
        <v>25</v>
      </c>
      <c r="E19" t="s">
        <v>1053</v>
      </c>
      <c r="F19" t="s">
        <v>75</v>
      </c>
      <c r="G19">
        <v>456</v>
      </c>
      <c r="H19" t="s">
        <v>1245</v>
      </c>
      <c r="I19" t="str">
        <f>VLOOKUP($D19,Scopus!$A$2:$K$49,3,FALSE)</f>
        <v>91.0%
31/351
General Engineering</v>
      </c>
      <c r="J19" t="str">
        <f>VLOOKUP($D19,Scopus!$A$2:$K$49,10,FALSE)</f>
        <v>Q1</v>
      </c>
      <c r="K19" t="str">
        <f>VLOOKUP($D19,Scopus!$A$2:$K$49,11,FALSE)</f>
        <v>2169-3536</v>
      </c>
      <c r="L19" t="e">
        <f t="shared" si="0"/>
        <v>#N/A</v>
      </c>
      <c r="M19" s="24" t="s">
        <v>1448</v>
      </c>
      <c r="N19" s="25" t="s">
        <v>881</v>
      </c>
      <c r="O19" s="25" t="s">
        <v>1449</v>
      </c>
      <c r="P19" s="25" t="s">
        <v>885</v>
      </c>
      <c r="Q19" s="25" t="s">
        <v>1408</v>
      </c>
      <c r="R19" s="26">
        <v>0.87</v>
      </c>
      <c r="S19" s="25" t="s">
        <v>1409</v>
      </c>
      <c r="T19" s="25" t="s">
        <v>1450</v>
      </c>
      <c r="U19" s="25">
        <v>2024</v>
      </c>
      <c r="V19" s="25">
        <v>21</v>
      </c>
      <c r="W19" s="25">
        <v>21</v>
      </c>
      <c r="X19" s="25">
        <v>20</v>
      </c>
      <c r="Y19" s="27">
        <v>46230</v>
      </c>
      <c r="Z19" s="24" t="s">
        <v>1448</v>
      </c>
    </row>
    <row r="20" spans="1:26" ht="42" x14ac:dyDescent="0.15">
      <c r="A20" t="s">
        <v>525</v>
      </c>
      <c r="B20" t="s">
        <v>526</v>
      </c>
      <c r="C20">
        <v>2020</v>
      </c>
      <c r="D20" t="s">
        <v>25</v>
      </c>
      <c r="E20" t="s">
        <v>321</v>
      </c>
      <c r="F20" t="s">
        <v>75</v>
      </c>
      <c r="G20">
        <v>321</v>
      </c>
      <c r="H20" t="s">
        <v>528</v>
      </c>
      <c r="I20" t="str">
        <f>VLOOKUP($D20,Scopus!$A$2:$K$49,3,FALSE)</f>
        <v>91.0%
31/351
General Engineering</v>
      </c>
      <c r="J20" t="str">
        <f>VLOOKUP($D20,Scopus!$A$2:$K$49,10,FALSE)</f>
        <v>Q1</v>
      </c>
      <c r="K20" t="str">
        <f>VLOOKUP($D20,Scopus!$A$2:$K$49,11,FALSE)</f>
        <v>2169-3536</v>
      </c>
      <c r="L20" t="e">
        <f t="shared" si="0"/>
        <v>#N/A</v>
      </c>
      <c r="M20" s="24" t="s">
        <v>1451</v>
      </c>
      <c r="N20" s="25" t="s">
        <v>79</v>
      </c>
      <c r="O20" s="25" t="s">
        <v>25</v>
      </c>
      <c r="P20" s="25" t="s">
        <v>82</v>
      </c>
      <c r="Q20" s="25" t="s">
        <v>1413</v>
      </c>
      <c r="R20" s="26">
        <v>0.9</v>
      </c>
      <c r="S20" s="25" t="s">
        <v>1409</v>
      </c>
      <c r="T20" s="25" t="s">
        <v>1426</v>
      </c>
      <c r="U20" s="25">
        <v>2021</v>
      </c>
      <c r="V20" s="25">
        <v>32</v>
      </c>
      <c r="W20" s="25">
        <v>32</v>
      </c>
      <c r="X20" s="25">
        <v>36</v>
      </c>
      <c r="Y20" s="27">
        <v>46230</v>
      </c>
      <c r="Z20" s="24" t="s">
        <v>1451</v>
      </c>
    </row>
    <row r="21" spans="1:26" ht="42" x14ac:dyDescent="0.15">
      <c r="A21" t="s">
        <v>615</v>
      </c>
      <c r="B21" t="s">
        <v>616</v>
      </c>
      <c r="C21">
        <v>2023</v>
      </c>
      <c r="D21" t="s">
        <v>25</v>
      </c>
      <c r="E21" t="s">
        <v>599</v>
      </c>
      <c r="F21" t="s">
        <v>32</v>
      </c>
      <c r="G21">
        <v>316</v>
      </c>
      <c r="H21" t="s">
        <v>618</v>
      </c>
      <c r="I21" t="str">
        <f>VLOOKUP($D21,Scopus!$A$2:$K$49,3,FALSE)</f>
        <v>91.0%
31/351
General Engineering</v>
      </c>
      <c r="J21" t="str">
        <f>VLOOKUP($D21,Scopus!$A$2:$K$49,10,FALSE)</f>
        <v>Q1</v>
      </c>
      <c r="K21" t="str">
        <f>VLOOKUP($D21,Scopus!$A$2:$K$49,11,FALSE)</f>
        <v>2169-3536</v>
      </c>
      <c r="L21" t="e">
        <f t="shared" si="0"/>
        <v>#N/A</v>
      </c>
      <c r="M21" s="24" t="s">
        <v>1452</v>
      </c>
      <c r="N21" s="25" t="s">
        <v>1453</v>
      </c>
      <c r="O21" s="25" t="s">
        <v>25</v>
      </c>
      <c r="P21" s="25" t="s">
        <v>1354</v>
      </c>
      <c r="Q21" s="25" t="s">
        <v>1413</v>
      </c>
      <c r="R21" s="26">
        <v>0.9</v>
      </c>
      <c r="S21" s="25" t="s">
        <v>1409</v>
      </c>
      <c r="T21" s="25" t="s">
        <v>1426</v>
      </c>
      <c r="U21" s="25">
        <v>2025</v>
      </c>
      <c r="V21" s="25">
        <v>9</v>
      </c>
      <c r="W21" s="25">
        <v>11</v>
      </c>
      <c r="X21" s="25">
        <v>7</v>
      </c>
      <c r="Y21" s="27">
        <v>46230</v>
      </c>
      <c r="Z21" s="24" t="s">
        <v>1452</v>
      </c>
    </row>
    <row r="22" spans="1:26" ht="42" x14ac:dyDescent="0.15">
      <c r="A22" t="s">
        <v>542</v>
      </c>
      <c r="B22" t="s">
        <v>543</v>
      </c>
      <c r="C22">
        <v>2020</v>
      </c>
      <c r="D22" t="s">
        <v>25</v>
      </c>
      <c r="E22" t="s">
        <v>321</v>
      </c>
      <c r="F22" t="s">
        <v>75</v>
      </c>
      <c r="G22">
        <v>278</v>
      </c>
      <c r="H22" t="s">
        <v>545</v>
      </c>
      <c r="I22" t="str">
        <f>VLOOKUP($D22,Scopus!$A$2:$K$49,3,FALSE)</f>
        <v>91.0%
31/351
General Engineering</v>
      </c>
      <c r="J22" t="str">
        <f>VLOOKUP($D22,Scopus!$A$2:$K$49,10,FALSE)</f>
        <v>Q1</v>
      </c>
      <c r="K22" t="str">
        <f>VLOOKUP($D22,Scopus!$A$2:$K$49,11,FALSE)</f>
        <v>2169-3536</v>
      </c>
      <c r="L22" t="e">
        <f t="shared" si="0"/>
        <v>#N/A</v>
      </c>
      <c r="M22" s="24" t="s">
        <v>1454</v>
      </c>
      <c r="N22" s="25" t="s">
        <v>60</v>
      </c>
      <c r="O22" s="25" t="s">
        <v>25</v>
      </c>
      <c r="P22" s="25" t="s">
        <v>63</v>
      </c>
      <c r="Q22" s="25" t="s">
        <v>1413</v>
      </c>
      <c r="R22" s="26">
        <v>0.9</v>
      </c>
      <c r="S22" s="25" t="s">
        <v>1409</v>
      </c>
      <c r="T22" s="25" t="s">
        <v>1426</v>
      </c>
      <c r="U22" s="25">
        <v>2025</v>
      </c>
      <c r="V22" s="25">
        <v>0</v>
      </c>
      <c r="W22" s="25">
        <v>1</v>
      </c>
      <c r="X22" s="25">
        <v>1</v>
      </c>
      <c r="Y22" s="27">
        <v>46230</v>
      </c>
      <c r="Z22" s="24" t="s">
        <v>1454</v>
      </c>
    </row>
    <row r="23" spans="1:26" ht="42" x14ac:dyDescent="0.15">
      <c r="A23" t="s">
        <v>449</v>
      </c>
      <c r="B23" t="s">
        <v>450</v>
      </c>
      <c r="C23">
        <v>2022</v>
      </c>
      <c r="D23" t="s">
        <v>25</v>
      </c>
      <c r="E23" t="s">
        <v>321</v>
      </c>
      <c r="F23" t="s">
        <v>75</v>
      </c>
      <c r="G23">
        <v>263</v>
      </c>
      <c r="H23" t="s">
        <v>452</v>
      </c>
      <c r="I23" t="str">
        <f>VLOOKUP($D23,Scopus!$A$2:$K$49,3,FALSE)</f>
        <v>91.0%
31/351
General Engineering</v>
      </c>
      <c r="J23" t="str">
        <f>VLOOKUP($D23,Scopus!$A$2:$K$49,10,FALSE)</f>
        <v>Q1</v>
      </c>
      <c r="K23" t="str">
        <f>VLOOKUP($D23,Scopus!$A$2:$K$49,11,FALSE)</f>
        <v>2169-3536</v>
      </c>
      <c r="L23" t="e">
        <f t="shared" si="0"/>
        <v>#N/A</v>
      </c>
      <c r="M23" s="24" t="s">
        <v>1455</v>
      </c>
      <c r="N23" s="25" t="s">
        <v>1322</v>
      </c>
      <c r="O23" s="25" t="s">
        <v>1456</v>
      </c>
      <c r="P23" s="25" t="s">
        <v>1325</v>
      </c>
      <c r="Q23" s="25" t="s">
        <v>1413</v>
      </c>
      <c r="R23" s="26">
        <v>0.97</v>
      </c>
      <c r="S23" s="25" t="s">
        <v>1409</v>
      </c>
      <c r="T23" s="25" t="s">
        <v>1457</v>
      </c>
      <c r="U23" s="25">
        <v>2026</v>
      </c>
      <c r="V23" s="25">
        <v>1</v>
      </c>
      <c r="W23" s="25">
        <v>1</v>
      </c>
      <c r="X23" s="25">
        <v>1</v>
      </c>
      <c r="Y23" s="27">
        <v>46230</v>
      </c>
      <c r="Z23" s="24" t="s">
        <v>1455</v>
      </c>
    </row>
    <row r="24" spans="1:26" ht="42" x14ac:dyDescent="0.15">
      <c r="A24" t="s">
        <v>610</v>
      </c>
      <c r="B24" t="s">
        <v>611</v>
      </c>
      <c r="C24">
        <v>2024</v>
      </c>
      <c r="D24" t="s">
        <v>25</v>
      </c>
      <c r="E24" t="s">
        <v>599</v>
      </c>
      <c r="F24" t="s">
        <v>32</v>
      </c>
      <c r="G24">
        <v>147</v>
      </c>
      <c r="H24" t="s">
        <v>613</v>
      </c>
      <c r="I24" t="str">
        <f>VLOOKUP($D24,Scopus!$A$2:$K$49,3,FALSE)</f>
        <v>91.0%
31/351
General Engineering</v>
      </c>
      <c r="J24" t="str">
        <f>VLOOKUP($D24,Scopus!$A$2:$K$49,10,FALSE)</f>
        <v>Q1</v>
      </c>
      <c r="K24" t="str">
        <f>VLOOKUP($D24,Scopus!$A$2:$K$49,11,FALSE)</f>
        <v>2169-3536</v>
      </c>
      <c r="L24" t="e">
        <f t="shared" si="0"/>
        <v>#N/A</v>
      </c>
      <c r="M24" s="24" t="s">
        <v>1458</v>
      </c>
      <c r="N24" s="25" t="s">
        <v>1459</v>
      </c>
      <c r="O24" s="25" t="s">
        <v>549</v>
      </c>
      <c r="P24" s="25" t="s">
        <v>798</v>
      </c>
      <c r="Q24" s="25" t="s">
        <v>1413</v>
      </c>
      <c r="R24" s="26">
        <v>0.9</v>
      </c>
      <c r="S24" s="25" t="s">
        <v>1409</v>
      </c>
      <c r="T24" s="25" t="s">
        <v>1460</v>
      </c>
      <c r="U24" s="25">
        <v>2025</v>
      </c>
      <c r="V24" s="25">
        <v>3</v>
      </c>
      <c r="W24" s="25">
        <v>6</v>
      </c>
      <c r="X24" s="25">
        <v>5</v>
      </c>
      <c r="Y24" s="27">
        <v>46230</v>
      </c>
      <c r="Z24" s="24" t="s">
        <v>1458</v>
      </c>
    </row>
    <row r="25" spans="1:26" ht="42" x14ac:dyDescent="0.15">
      <c r="A25" t="s">
        <v>444</v>
      </c>
      <c r="B25" t="s">
        <v>445</v>
      </c>
      <c r="C25">
        <v>2022</v>
      </c>
      <c r="D25" t="s">
        <v>25</v>
      </c>
      <c r="E25" t="s">
        <v>321</v>
      </c>
      <c r="F25" t="s">
        <v>17</v>
      </c>
      <c r="G25">
        <v>115</v>
      </c>
      <c r="H25" t="s">
        <v>447</v>
      </c>
      <c r="I25" t="str">
        <f>VLOOKUP($D25,Scopus!$A$2:$K$49,3,FALSE)</f>
        <v>91.0%
31/351
General Engineering</v>
      </c>
      <c r="J25" t="str">
        <f>VLOOKUP($D25,Scopus!$A$2:$K$49,10,FALSE)</f>
        <v>Q1</v>
      </c>
      <c r="K25" t="str">
        <f>VLOOKUP($D25,Scopus!$A$2:$K$49,11,FALSE)</f>
        <v>2169-3536</v>
      </c>
      <c r="L25" t="e">
        <f t="shared" si="0"/>
        <v>#N/A</v>
      </c>
      <c r="M25" s="24" t="s">
        <v>1461</v>
      </c>
      <c r="N25" s="25" t="s">
        <v>48</v>
      </c>
      <c r="O25" s="25" t="s">
        <v>50</v>
      </c>
      <c r="P25" s="25" t="s">
        <v>52</v>
      </c>
      <c r="Q25" s="25" t="s">
        <v>1413</v>
      </c>
      <c r="R25" s="26">
        <v>0.97</v>
      </c>
      <c r="S25" s="25" t="s">
        <v>1409</v>
      </c>
      <c r="T25" s="25" t="s">
        <v>1462</v>
      </c>
      <c r="U25" s="25">
        <v>2025</v>
      </c>
      <c r="V25" s="25">
        <v>48</v>
      </c>
      <c r="W25" s="25">
        <v>54</v>
      </c>
      <c r="X25" s="25">
        <v>51</v>
      </c>
      <c r="Y25" s="27">
        <v>46230</v>
      </c>
      <c r="Z25" s="24" t="s">
        <v>1461</v>
      </c>
    </row>
    <row r="26" spans="1:26" ht="42" x14ac:dyDescent="0.15">
      <c r="A26" t="s">
        <v>1222</v>
      </c>
      <c r="B26" t="s">
        <v>1223</v>
      </c>
      <c r="C26">
        <v>2024</v>
      </c>
      <c r="D26" t="s">
        <v>25</v>
      </c>
      <c r="E26" t="s">
        <v>1053</v>
      </c>
      <c r="F26" t="s">
        <v>32</v>
      </c>
      <c r="G26">
        <v>92</v>
      </c>
      <c r="H26" t="s">
        <v>1225</v>
      </c>
      <c r="I26" t="str">
        <f>VLOOKUP($D26,Scopus!$A$2:$K$49,3,FALSE)</f>
        <v>91.0%
31/351
General Engineering</v>
      </c>
      <c r="J26" t="str">
        <f>VLOOKUP($D26,Scopus!$A$2:$K$49,10,FALSE)</f>
        <v>Q1</v>
      </c>
      <c r="K26" t="str">
        <f>VLOOKUP($D26,Scopus!$A$2:$K$49,11,FALSE)</f>
        <v>2169-3536</v>
      </c>
      <c r="L26" t="e">
        <f t="shared" si="0"/>
        <v>#N/A</v>
      </c>
      <c r="M26" s="24" t="s">
        <v>1463</v>
      </c>
      <c r="N26" s="25" t="s">
        <v>1264</v>
      </c>
      <c r="O26" s="25" t="s">
        <v>1266</v>
      </c>
      <c r="P26" s="25" t="s">
        <v>1268</v>
      </c>
      <c r="Q26" s="25" t="s">
        <v>1413</v>
      </c>
      <c r="R26" s="26">
        <v>0.89</v>
      </c>
      <c r="S26" s="25" t="s">
        <v>1409</v>
      </c>
      <c r="T26" s="25" t="s">
        <v>1464</v>
      </c>
      <c r="U26" s="25">
        <v>2026</v>
      </c>
      <c r="V26" s="25">
        <v>1</v>
      </c>
      <c r="W26" s="25">
        <v>2</v>
      </c>
      <c r="X26" s="25">
        <v>0</v>
      </c>
      <c r="Y26" s="27">
        <v>46230</v>
      </c>
      <c r="Z26" s="24" t="s">
        <v>1463</v>
      </c>
    </row>
    <row r="27" spans="1:26" ht="42" x14ac:dyDescent="0.15">
      <c r="A27" t="s">
        <v>363</v>
      </c>
      <c r="B27" t="s">
        <v>364</v>
      </c>
      <c r="C27">
        <v>2024</v>
      </c>
      <c r="D27" t="s">
        <v>25</v>
      </c>
      <c r="E27" t="s">
        <v>321</v>
      </c>
      <c r="F27" t="s">
        <v>17</v>
      </c>
      <c r="G27">
        <v>78</v>
      </c>
      <c r="H27" t="s">
        <v>366</v>
      </c>
      <c r="I27" t="str">
        <f>VLOOKUP($D27,Scopus!$A$2:$K$49,3,FALSE)</f>
        <v>91.0%
31/351
General Engineering</v>
      </c>
      <c r="J27" t="str">
        <f>VLOOKUP($D27,Scopus!$A$2:$K$49,10,FALSE)</f>
        <v>Q1</v>
      </c>
      <c r="K27" t="str">
        <f>VLOOKUP($D27,Scopus!$A$2:$K$49,11,FALSE)</f>
        <v>2169-3536</v>
      </c>
      <c r="L27" t="e">
        <f t="shared" si="0"/>
        <v>#N/A</v>
      </c>
      <c r="M27" s="24" t="s">
        <v>1465</v>
      </c>
      <c r="N27" s="25" t="s">
        <v>1466</v>
      </c>
      <c r="O27" s="25" t="s">
        <v>549</v>
      </c>
      <c r="P27" s="25" t="s">
        <v>1005</v>
      </c>
      <c r="Q27" s="25" t="s">
        <v>1413</v>
      </c>
      <c r="R27" s="26">
        <v>0.9</v>
      </c>
      <c r="S27" s="25" t="s">
        <v>1409</v>
      </c>
      <c r="T27" s="25" t="s">
        <v>1460</v>
      </c>
      <c r="U27" s="25">
        <v>2026</v>
      </c>
      <c r="V27" s="25">
        <v>0</v>
      </c>
      <c r="W27" s="25">
        <v>1</v>
      </c>
      <c r="X27" s="25">
        <v>1</v>
      </c>
      <c r="Y27" s="27">
        <v>46230</v>
      </c>
      <c r="Z27" s="24" t="s">
        <v>1465</v>
      </c>
    </row>
    <row r="28" spans="1:26" ht="42" x14ac:dyDescent="0.15">
      <c r="A28" t="s">
        <v>1206</v>
      </c>
      <c r="B28" t="s">
        <v>1207</v>
      </c>
      <c r="C28">
        <v>2024</v>
      </c>
      <c r="D28" t="s">
        <v>25</v>
      </c>
      <c r="E28" t="s">
        <v>1053</v>
      </c>
      <c r="F28" t="s">
        <v>17</v>
      </c>
      <c r="G28">
        <v>76</v>
      </c>
      <c r="H28" t="s">
        <v>1209</v>
      </c>
      <c r="I28" t="str">
        <f>VLOOKUP($D28,Scopus!$A$2:$K$49,3,FALSE)</f>
        <v>91.0%
31/351
General Engineering</v>
      </c>
      <c r="J28" t="str">
        <f>VLOOKUP($D28,Scopus!$A$2:$K$49,10,FALSE)</f>
        <v>Q1</v>
      </c>
      <c r="K28" t="str">
        <f>VLOOKUP($D28,Scopus!$A$2:$K$49,11,FALSE)</f>
        <v>2169-3536</v>
      </c>
      <c r="L28" t="e">
        <f t="shared" si="0"/>
        <v>#N/A</v>
      </c>
      <c r="M28" s="24" t="s">
        <v>1467</v>
      </c>
      <c r="N28" s="25" t="s">
        <v>1347</v>
      </c>
      <c r="O28" s="25" t="s">
        <v>1468</v>
      </c>
      <c r="P28" s="25" t="s">
        <v>1350</v>
      </c>
      <c r="Q28" s="25" t="s">
        <v>1413</v>
      </c>
      <c r="R28" s="26">
        <v>0.97</v>
      </c>
      <c r="S28" s="25" t="s">
        <v>1409</v>
      </c>
      <c r="T28" s="25" t="s">
        <v>1469</v>
      </c>
      <c r="U28" s="25">
        <v>2026</v>
      </c>
      <c r="V28" s="25">
        <v>3</v>
      </c>
      <c r="W28" s="25">
        <v>3</v>
      </c>
      <c r="X28" s="25">
        <v>2</v>
      </c>
      <c r="Y28" s="27">
        <v>46230</v>
      </c>
      <c r="Z28" s="24" t="s">
        <v>1467</v>
      </c>
    </row>
    <row r="29" spans="1:26" ht="42" x14ac:dyDescent="0.15">
      <c r="A29" t="s">
        <v>843</v>
      </c>
      <c r="B29" t="s">
        <v>844</v>
      </c>
      <c r="C29">
        <v>2025</v>
      </c>
      <c r="D29" t="s">
        <v>25</v>
      </c>
      <c r="E29" t="s">
        <v>640</v>
      </c>
      <c r="F29" t="s">
        <v>32</v>
      </c>
      <c r="G29">
        <v>65</v>
      </c>
      <c r="H29" t="s">
        <v>846</v>
      </c>
      <c r="I29" t="str">
        <f>VLOOKUP($D29,Scopus!$A$2:$K$49,3,FALSE)</f>
        <v>91.0%
31/351
General Engineering</v>
      </c>
      <c r="J29" t="str">
        <f>VLOOKUP($D29,Scopus!$A$2:$K$49,10,FALSE)</f>
        <v>Q1</v>
      </c>
      <c r="K29" t="str">
        <f>VLOOKUP($D29,Scopus!$A$2:$K$49,11,FALSE)</f>
        <v>2169-3536</v>
      </c>
      <c r="L29" t="e">
        <f t="shared" si="0"/>
        <v>#N/A</v>
      </c>
      <c r="M29" s="24" t="s">
        <v>1470</v>
      </c>
      <c r="N29" s="25" t="s">
        <v>1471</v>
      </c>
      <c r="O29" s="25" t="s">
        <v>25</v>
      </c>
      <c r="P29" s="25" t="s">
        <v>1118</v>
      </c>
      <c r="Q29" s="25" t="s">
        <v>1413</v>
      </c>
      <c r="R29" s="26">
        <v>0.9</v>
      </c>
      <c r="S29" s="25" t="s">
        <v>1409</v>
      </c>
      <c r="T29" s="25" t="s">
        <v>1426</v>
      </c>
      <c r="U29" s="25">
        <v>2025</v>
      </c>
      <c r="V29" s="25">
        <v>10</v>
      </c>
      <c r="W29" s="25">
        <v>16</v>
      </c>
      <c r="X29" s="25">
        <v>18</v>
      </c>
      <c r="Y29" s="27">
        <v>46230</v>
      </c>
      <c r="Z29" s="24" t="s">
        <v>1470</v>
      </c>
    </row>
    <row r="30" spans="1:26" ht="42" x14ac:dyDescent="0.15">
      <c r="A30" t="s">
        <v>271</v>
      </c>
      <c r="B30" t="s">
        <v>272</v>
      </c>
      <c r="C30">
        <v>2025</v>
      </c>
      <c r="D30" t="s">
        <v>25</v>
      </c>
      <c r="E30" t="s">
        <v>237</v>
      </c>
      <c r="F30" t="s">
        <v>32</v>
      </c>
      <c r="G30">
        <v>34</v>
      </c>
      <c r="H30" t="s">
        <v>274</v>
      </c>
      <c r="I30" t="str">
        <f>VLOOKUP($D30,Scopus!$A$2:$K$49,3,FALSE)</f>
        <v>91.0%
31/351
General Engineering</v>
      </c>
      <c r="J30" t="str">
        <f>VLOOKUP($D30,Scopus!$A$2:$K$49,10,FALSE)</f>
        <v>Q1</v>
      </c>
      <c r="K30" t="str">
        <f>VLOOKUP($D30,Scopus!$A$2:$K$49,11,FALSE)</f>
        <v>2169-3536</v>
      </c>
      <c r="L30" t="e">
        <f t="shared" si="0"/>
        <v>#N/A</v>
      </c>
      <c r="M30" s="24" t="s">
        <v>1472</v>
      </c>
      <c r="N30" s="25" t="s">
        <v>740</v>
      </c>
      <c r="O30" s="25" t="s">
        <v>1473</v>
      </c>
      <c r="P30" s="25" t="s">
        <v>743</v>
      </c>
      <c r="Q30" s="25" t="s">
        <v>1408</v>
      </c>
      <c r="R30" s="26">
        <v>0.87</v>
      </c>
      <c r="S30" s="25" t="s">
        <v>1409</v>
      </c>
      <c r="T30" s="25" t="s">
        <v>1474</v>
      </c>
      <c r="U30" s="25">
        <v>2025</v>
      </c>
      <c r="V30" s="25">
        <v>5</v>
      </c>
      <c r="W30" s="25">
        <v>5</v>
      </c>
      <c r="X30" s="25">
        <v>7</v>
      </c>
      <c r="Y30" s="27">
        <v>46230</v>
      </c>
      <c r="Z30" s="24" t="s">
        <v>1472</v>
      </c>
    </row>
    <row r="31" spans="1:26" ht="42" x14ac:dyDescent="0.15">
      <c r="A31" t="s">
        <v>79</v>
      </c>
      <c r="B31" t="s">
        <v>80</v>
      </c>
      <c r="C31">
        <v>2021</v>
      </c>
      <c r="D31" t="s">
        <v>25</v>
      </c>
      <c r="E31" t="s">
        <v>16</v>
      </c>
      <c r="F31" t="s">
        <v>32</v>
      </c>
      <c r="G31">
        <v>32</v>
      </c>
      <c r="H31" t="s">
        <v>82</v>
      </c>
      <c r="I31" t="str">
        <f>VLOOKUP($D31,Scopus!$A$2:$K$49,3,FALSE)</f>
        <v>91.0%
31/351
General Engineering</v>
      </c>
      <c r="J31" t="str">
        <f>VLOOKUP($D31,Scopus!$A$2:$K$49,10,FALSE)</f>
        <v>Q1</v>
      </c>
      <c r="K31" t="str">
        <f>VLOOKUP($D31,Scopus!$A$2:$K$49,11,FALSE)</f>
        <v>2169-3536</v>
      </c>
      <c r="L31" t="e">
        <f t="shared" si="0"/>
        <v>#N/A</v>
      </c>
      <c r="M31" s="24" t="s">
        <v>1475</v>
      </c>
      <c r="N31" s="25" t="s">
        <v>1476</v>
      </c>
      <c r="O31" s="25" t="s">
        <v>1303</v>
      </c>
      <c r="P31" s="25" t="s">
        <v>1304</v>
      </c>
      <c r="Q31" s="25" t="s">
        <v>1408</v>
      </c>
      <c r="R31" s="26">
        <v>0.86</v>
      </c>
      <c r="S31" s="25" t="s">
        <v>1409</v>
      </c>
      <c r="T31" s="25" t="s">
        <v>1477</v>
      </c>
      <c r="U31" s="25">
        <v>2026</v>
      </c>
      <c r="V31" s="25">
        <v>0</v>
      </c>
      <c r="W31" s="25">
        <v>1</v>
      </c>
      <c r="X31" s="25">
        <v>0</v>
      </c>
      <c r="Y31" s="27">
        <v>46230</v>
      </c>
      <c r="Z31" s="24" t="s">
        <v>1475</v>
      </c>
    </row>
    <row r="32" spans="1:26" ht="42" x14ac:dyDescent="0.15">
      <c r="A32" t="s">
        <v>1115</v>
      </c>
      <c r="B32" t="s">
        <v>1116</v>
      </c>
      <c r="C32">
        <v>2025</v>
      </c>
      <c r="D32" t="s">
        <v>25</v>
      </c>
      <c r="E32" t="s">
        <v>1053</v>
      </c>
      <c r="F32" t="s">
        <v>75</v>
      </c>
      <c r="G32">
        <v>15</v>
      </c>
      <c r="H32" t="s">
        <v>1118</v>
      </c>
      <c r="I32" t="str">
        <f>VLOOKUP($D32,Scopus!$A$2:$K$49,3,FALSE)</f>
        <v>91.0%
31/351
General Engineering</v>
      </c>
      <c r="J32" t="str">
        <f>VLOOKUP($D32,Scopus!$A$2:$K$49,10,FALSE)</f>
        <v>Q1</v>
      </c>
      <c r="K32" t="str">
        <f>VLOOKUP($D32,Scopus!$A$2:$K$49,11,FALSE)</f>
        <v>2169-3536</v>
      </c>
      <c r="L32" t="e">
        <f t="shared" si="0"/>
        <v>#N/A</v>
      </c>
      <c r="M32" s="24" t="s">
        <v>1478</v>
      </c>
      <c r="N32" s="25" t="s">
        <v>1343</v>
      </c>
      <c r="O32" s="25" t="s">
        <v>268</v>
      </c>
      <c r="P32" s="25" t="s">
        <v>1345</v>
      </c>
      <c r="Q32" s="25" t="s">
        <v>1408</v>
      </c>
      <c r="R32" s="26">
        <v>0.76</v>
      </c>
      <c r="S32" s="25" t="s">
        <v>1417</v>
      </c>
      <c r="T32" s="25" t="s">
        <v>1479</v>
      </c>
      <c r="U32" s="25">
        <v>2025</v>
      </c>
      <c r="V32" s="25">
        <v>8</v>
      </c>
      <c r="W32" s="25">
        <v>10</v>
      </c>
      <c r="X32" s="25">
        <v>13</v>
      </c>
      <c r="Y32" s="27">
        <v>46230</v>
      </c>
      <c r="Z32" s="24" t="s">
        <v>1478</v>
      </c>
    </row>
    <row r="33" spans="1:26" ht="42" x14ac:dyDescent="0.15">
      <c r="A33" t="s">
        <v>748</v>
      </c>
      <c r="B33" t="s">
        <v>749</v>
      </c>
      <c r="C33">
        <v>2025</v>
      </c>
      <c r="D33" t="s">
        <v>25</v>
      </c>
      <c r="E33" t="s">
        <v>640</v>
      </c>
      <c r="F33" t="s">
        <v>75</v>
      </c>
      <c r="G33">
        <v>12</v>
      </c>
      <c r="H33" t="s">
        <v>750</v>
      </c>
      <c r="I33" t="str">
        <f>VLOOKUP($D33,Scopus!$A$2:$K$49,3,FALSE)</f>
        <v>91.0%
31/351
General Engineering</v>
      </c>
      <c r="J33" t="str">
        <f>VLOOKUP($D33,Scopus!$A$2:$K$49,10,FALSE)</f>
        <v>Q1</v>
      </c>
      <c r="K33" t="str">
        <f>VLOOKUP($D33,Scopus!$A$2:$K$49,11,FALSE)</f>
        <v>2169-3536</v>
      </c>
      <c r="L33" t="e">
        <f t="shared" si="0"/>
        <v>#N/A</v>
      </c>
      <c r="M33" s="24" t="s">
        <v>1480</v>
      </c>
      <c r="N33" s="25" t="s">
        <v>1481</v>
      </c>
      <c r="O33" s="25" t="s">
        <v>268</v>
      </c>
      <c r="P33" s="25" t="s">
        <v>1294</v>
      </c>
      <c r="Q33" s="25" t="s">
        <v>1408</v>
      </c>
      <c r="R33" s="26">
        <v>0.76</v>
      </c>
      <c r="S33" s="25" t="s">
        <v>1417</v>
      </c>
      <c r="T33" s="25" t="s">
        <v>1479</v>
      </c>
      <c r="U33" s="25">
        <v>2026</v>
      </c>
      <c r="V33" s="25">
        <v>1</v>
      </c>
      <c r="W33" s="25">
        <v>1</v>
      </c>
      <c r="X33" s="25">
        <v>1</v>
      </c>
      <c r="Y33" s="27">
        <v>46230</v>
      </c>
      <c r="Z33" s="24" t="s">
        <v>1480</v>
      </c>
    </row>
    <row r="34" spans="1:26" ht="42" x14ac:dyDescent="0.15">
      <c r="A34" t="s">
        <v>84</v>
      </c>
      <c r="B34" t="s">
        <v>85</v>
      </c>
      <c r="C34">
        <v>2020</v>
      </c>
      <c r="D34" t="s">
        <v>25</v>
      </c>
      <c r="E34" t="s">
        <v>16</v>
      </c>
      <c r="F34" t="s">
        <v>32</v>
      </c>
      <c r="G34">
        <v>10</v>
      </c>
      <c r="H34" t="s">
        <v>87</v>
      </c>
      <c r="I34" t="str">
        <f>VLOOKUP($D34,Scopus!$A$2:$K$49,3,FALSE)</f>
        <v>91.0%
31/351
General Engineering</v>
      </c>
      <c r="J34" t="str">
        <f>VLOOKUP($D34,Scopus!$A$2:$K$49,10,FALSE)</f>
        <v>Q1</v>
      </c>
      <c r="K34" t="str">
        <f>VLOOKUP($D34,Scopus!$A$2:$K$49,11,FALSE)</f>
        <v>2169-3536</v>
      </c>
      <c r="L34" t="e">
        <f t="shared" si="0"/>
        <v>#N/A</v>
      </c>
      <c r="M34" s="24" t="s">
        <v>1482</v>
      </c>
      <c r="N34" s="25" t="s">
        <v>1128</v>
      </c>
      <c r="O34" s="25" t="s">
        <v>831</v>
      </c>
      <c r="P34" s="25" t="s">
        <v>1129</v>
      </c>
      <c r="Q34" s="25" t="s">
        <v>1408</v>
      </c>
      <c r="R34" s="26">
        <v>0.77</v>
      </c>
      <c r="S34" s="25" t="s">
        <v>1409</v>
      </c>
      <c r="T34" s="25" t="s">
        <v>1410</v>
      </c>
      <c r="U34" s="25">
        <v>2025</v>
      </c>
      <c r="V34" s="25">
        <v>11</v>
      </c>
      <c r="W34" s="25">
        <v>11</v>
      </c>
      <c r="X34" s="25">
        <v>11</v>
      </c>
      <c r="Y34" s="27">
        <v>46230</v>
      </c>
      <c r="Z34" s="24" t="s">
        <v>1482</v>
      </c>
    </row>
    <row r="35" spans="1:26" ht="42" x14ac:dyDescent="0.15">
      <c r="A35" t="s">
        <v>68</v>
      </c>
      <c r="B35" t="s">
        <v>69</v>
      </c>
      <c r="C35">
        <v>2024</v>
      </c>
      <c r="D35" t="s">
        <v>25</v>
      </c>
      <c r="E35" t="s">
        <v>16</v>
      </c>
      <c r="F35" t="s">
        <v>32</v>
      </c>
      <c r="G35">
        <v>9</v>
      </c>
      <c r="H35" t="s">
        <v>71</v>
      </c>
      <c r="I35" t="str">
        <f>VLOOKUP($D35,Scopus!$A$2:$K$49,3,FALSE)</f>
        <v>91.0%
31/351
General Engineering</v>
      </c>
      <c r="J35" t="str">
        <f>VLOOKUP($D35,Scopus!$A$2:$K$49,10,FALSE)</f>
        <v>Q1</v>
      </c>
      <c r="K35" t="str">
        <f>VLOOKUP($D35,Scopus!$A$2:$K$49,11,FALSE)</f>
        <v>2169-3536</v>
      </c>
      <c r="L35" t="e">
        <f t="shared" si="0"/>
        <v>#N/A</v>
      </c>
      <c r="M35" s="24" t="s">
        <v>1483</v>
      </c>
      <c r="N35" s="25" t="s">
        <v>1120</v>
      </c>
      <c r="O35" s="25" t="s">
        <v>1122</v>
      </c>
      <c r="P35" s="25" t="s">
        <v>1123</v>
      </c>
      <c r="Q35" s="25" t="s">
        <v>1408</v>
      </c>
      <c r="R35" s="26">
        <v>0.81</v>
      </c>
      <c r="S35" s="25" t="s">
        <v>1417</v>
      </c>
      <c r="T35" s="25" t="s">
        <v>1484</v>
      </c>
      <c r="U35" s="25">
        <v>2025</v>
      </c>
      <c r="V35" s="25">
        <v>1</v>
      </c>
      <c r="W35" s="25">
        <v>2</v>
      </c>
      <c r="X35" s="25">
        <v>2</v>
      </c>
      <c r="Y35" s="27">
        <v>46230</v>
      </c>
      <c r="Z35" s="24" t="s">
        <v>1483</v>
      </c>
    </row>
    <row r="36" spans="1:26" ht="42" x14ac:dyDescent="0.15">
      <c r="A36" t="s">
        <v>23</v>
      </c>
      <c r="B36" t="s">
        <v>24</v>
      </c>
      <c r="C36">
        <v>2026</v>
      </c>
      <c r="D36" t="s">
        <v>25</v>
      </c>
      <c r="E36" t="s">
        <v>16</v>
      </c>
      <c r="F36" t="s">
        <v>17</v>
      </c>
      <c r="G36">
        <v>7</v>
      </c>
      <c r="H36" t="s">
        <v>27</v>
      </c>
      <c r="I36" t="str">
        <f>VLOOKUP($D36,Scopus!$A$2:$K$49,3,FALSE)</f>
        <v>91.0%
31/351
General Engineering</v>
      </c>
      <c r="J36" t="str">
        <f>VLOOKUP($D36,Scopus!$A$2:$K$49,10,FALSE)</f>
        <v>Q1</v>
      </c>
      <c r="K36" t="str">
        <f>VLOOKUP($D36,Scopus!$A$2:$K$49,11,FALSE)</f>
        <v>2169-3536</v>
      </c>
      <c r="L36" t="e">
        <f t="shared" si="0"/>
        <v>#N/A</v>
      </c>
      <c r="M36" s="24" t="s">
        <v>1485</v>
      </c>
      <c r="N36" s="25" t="s">
        <v>1296</v>
      </c>
      <c r="O36" s="25" t="s">
        <v>1486</v>
      </c>
      <c r="P36" s="25" t="s">
        <v>1299</v>
      </c>
      <c r="Q36" s="25" t="s">
        <v>1408</v>
      </c>
      <c r="R36" s="26">
        <v>0.86</v>
      </c>
      <c r="S36" s="25" t="s">
        <v>1417</v>
      </c>
      <c r="T36" s="25" t="s">
        <v>1487</v>
      </c>
      <c r="U36" s="25">
        <v>2026</v>
      </c>
      <c r="V36" s="25">
        <v>0</v>
      </c>
      <c r="W36" s="25">
        <v>0</v>
      </c>
      <c r="X36" s="25">
        <v>0</v>
      </c>
      <c r="Y36" s="27">
        <v>46230</v>
      </c>
      <c r="Z36" s="24" t="s">
        <v>1485</v>
      </c>
    </row>
    <row r="37" spans="1:26" ht="42" x14ac:dyDescent="0.15">
      <c r="A37" t="s">
        <v>43</v>
      </c>
      <c r="B37" t="s">
        <v>44</v>
      </c>
      <c r="C37">
        <v>2025</v>
      </c>
      <c r="D37" t="s">
        <v>25</v>
      </c>
      <c r="E37" t="s">
        <v>16</v>
      </c>
      <c r="F37" t="s">
        <v>32</v>
      </c>
      <c r="G37">
        <v>3</v>
      </c>
      <c r="H37" t="s">
        <v>46</v>
      </c>
      <c r="I37" t="str">
        <f>VLOOKUP($D37,Scopus!$A$2:$K$49,3,FALSE)</f>
        <v>91.0%
31/351
General Engineering</v>
      </c>
      <c r="J37" t="str">
        <f>VLOOKUP($D37,Scopus!$A$2:$K$49,10,FALSE)</f>
        <v>Q1</v>
      </c>
      <c r="K37" t="str">
        <f>VLOOKUP($D37,Scopus!$A$2:$K$49,11,FALSE)</f>
        <v>2169-3536</v>
      </c>
      <c r="L37" t="e">
        <f t="shared" si="0"/>
        <v>#N/A</v>
      </c>
      <c r="M37" s="24" t="s">
        <v>1488</v>
      </c>
      <c r="N37" s="25" t="s">
        <v>1285</v>
      </c>
      <c r="O37" s="25" t="s">
        <v>1192</v>
      </c>
      <c r="P37" s="25" t="s">
        <v>1287</v>
      </c>
      <c r="Q37" s="25" t="s">
        <v>1408</v>
      </c>
      <c r="R37" s="26">
        <v>0.78</v>
      </c>
      <c r="S37" s="25" t="s">
        <v>1417</v>
      </c>
      <c r="T37" s="25" t="s">
        <v>1418</v>
      </c>
      <c r="U37" s="25">
        <v>2026</v>
      </c>
      <c r="V37" s="25">
        <v>5</v>
      </c>
      <c r="W37" s="25">
        <v>5</v>
      </c>
      <c r="X37" s="25">
        <v>2</v>
      </c>
      <c r="Y37" s="27">
        <v>46230</v>
      </c>
      <c r="Z37" s="24" t="s">
        <v>1488</v>
      </c>
    </row>
    <row r="38" spans="1:26" ht="42" x14ac:dyDescent="0.15">
      <c r="A38" t="s">
        <v>60</v>
      </c>
      <c r="B38" t="s">
        <v>61</v>
      </c>
      <c r="C38">
        <v>2025</v>
      </c>
      <c r="D38" t="s">
        <v>25</v>
      </c>
      <c r="E38" t="s">
        <v>16</v>
      </c>
      <c r="F38" t="s">
        <v>32</v>
      </c>
      <c r="G38">
        <v>0</v>
      </c>
      <c r="H38" t="s">
        <v>63</v>
      </c>
      <c r="I38" t="str">
        <f>VLOOKUP($D38,Scopus!$A$2:$K$49,3,FALSE)</f>
        <v>91.0%
31/351
General Engineering</v>
      </c>
      <c r="J38" t="str">
        <f>VLOOKUP($D38,Scopus!$A$2:$K$49,10,FALSE)</f>
        <v>Q1</v>
      </c>
      <c r="K38" t="str">
        <f>VLOOKUP($D38,Scopus!$A$2:$K$49,11,FALSE)</f>
        <v>2169-3536</v>
      </c>
      <c r="L38" t="e">
        <f t="shared" si="0"/>
        <v>#N/A</v>
      </c>
      <c r="M38" s="24" t="s">
        <v>1489</v>
      </c>
      <c r="N38" s="25" t="s">
        <v>1490</v>
      </c>
      <c r="O38" s="25" t="s">
        <v>268</v>
      </c>
      <c r="P38" s="25" t="s">
        <v>269</v>
      </c>
      <c r="Q38" s="25" t="s">
        <v>1408</v>
      </c>
      <c r="R38" s="26">
        <v>0.76</v>
      </c>
      <c r="S38" s="25" t="s">
        <v>1417</v>
      </c>
      <c r="T38" s="25" t="s">
        <v>1479</v>
      </c>
      <c r="U38" s="25">
        <v>2025</v>
      </c>
      <c r="V38" s="25">
        <v>0</v>
      </c>
      <c r="W38" s="25">
        <v>0</v>
      </c>
      <c r="X38" s="25">
        <v>1</v>
      </c>
      <c r="Y38" s="27">
        <v>46230</v>
      </c>
      <c r="Z38" s="24" t="s">
        <v>1489</v>
      </c>
    </row>
    <row r="39" spans="1:26" ht="42" x14ac:dyDescent="0.15">
      <c r="A39" t="s">
        <v>853</v>
      </c>
      <c r="B39" t="s">
        <v>854</v>
      </c>
      <c r="C39">
        <v>2025</v>
      </c>
      <c r="D39" t="s">
        <v>855</v>
      </c>
      <c r="E39" t="s">
        <v>640</v>
      </c>
      <c r="F39" t="s">
        <v>32</v>
      </c>
      <c r="G39">
        <v>216</v>
      </c>
      <c r="H39" t="s">
        <v>857</v>
      </c>
      <c r="I39" t="str">
        <f>VLOOKUP($D39,Scopus!$A$2:$K$49,3,FALSE)</f>
        <v>86.0%
32/241
General Computer Science</v>
      </c>
      <c r="J39" t="str">
        <f>VLOOKUP($D39,Scopus!$A$2:$K$49,10,FALSE)</f>
        <v>Q1</v>
      </c>
      <c r="K39" t="str">
        <f>VLOOKUP($D39,Scopus!$A$2:$K$49,11,FALSE)</f>
        <v>2590-0056</v>
      </c>
      <c r="L39" t="e">
        <f t="shared" si="0"/>
        <v>#N/A</v>
      </c>
      <c r="M39" s="24" t="s">
        <v>1491</v>
      </c>
      <c r="N39" s="25" t="s">
        <v>1185</v>
      </c>
      <c r="O39" s="25" t="s">
        <v>1492</v>
      </c>
      <c r="P39" s="25" t="s">
        <v>1188</v>
      </c>
      <c r="Q39" s="25" t="s">
        <v>1493</v>
      </c>
      <c r="R39" s="26">
        <v>0.65</v>
      </c>
      <c r="S39" s="25" t="s">
        <v>1417</v>
      </c>
      <c r="T39" s="25" t="s">
        <v>1494</v>
      </c>
      <c r="U39" s="25">
        <v>2025</v>
      </c>
      <c r="V39" s="25">
        <v>6</v>
      </c>
      <c r="W39" s="25">
        <v>8</v>
      </c>
      <c r="X39" s="25">
        <v>8</v>
      </c>
      <c r="Y39" s="27">
        <v>46230</v>
      </c>
      <c r="Z39" s="24" t="s">
        <v>1491</v>
      </c>
    </row>
    <row r="40" spans="1:26" ht="42" x14ac:dyDescent="0.15">
      <c r="A40" t="s">
        <v>226</v>
      </c>
      <c r="B40" t="s">
        <v>227</v>
      </c>
      <c r="C40">
        <v>2020</v>
      </c>
      <c r="D40" t="s">
        <v>228</v>
      </c>
      <c r="E40" t="s">
        <v>155</v>
      </c>
      <c r="F40" t="s">
        <v>32</v>
      </c>
      <c r="G40">
        <v>401</v>
      </c>
      <c r="H40" t="s">
        <v>230</v>
      </c>
      <c r="I40" t="str">
        <f>VLOOKUP($D40,Scopus!$A$2:$K$49,3,FALSE)</f>
        <v>98.0%
10/519
Information Systems</v>
      </c>
      <c r="J40" t="str">
        <f>VLOOKUP($D40,Scopus!$A$2:$K$49,10,FALSE)</f>
        <v>Q1</v>
      </c>
      <c r="K40" t="str">
        <f>VLOOKUP($D40,Scopus!$A$2:$K$49,11,FALSE)</f>
        <v>1551-3203</v>
      </c>
      <c r="L40" t="e">
        <f t="shared" si="0"/>
        <v>#N/A</v>
      </c>
      <c r="M40" s="24" t="s">
        <v>1495</v>
      </c>
      <c r="N40" s="25" t="s">
        <v>1496</v>
      </c>
      <c r="O40" s="25" t="s">
        <v>725</v>
      </c>
      <c r="P40" s="25" t="s">
        <v>727</v>
      </c>
      <c r="Q40" s="25" t="s">
        <v>1493</v>
      </c>
      <c r="R40" s="26">
        <v>0.68</v>
      </c>
      <c r="S40" s="25" t="s">
        <v>1417</v>
      </c>
      <c r="T40" s="25" t="s">
        <v>1497</v>
      </c>
      <c r="U40" s="25">
        <v>2025</v>
      </c>
      <c r="V40" s="25">
        <v>11</v>
      </c>
      <c r="W40" s="25">
        <v>13</v>
      </c>
      <c r="X40" s="25">
        <v>7</v>
      </c>
      <c r="Y40" s="27">
        <v>46230</v>
      </c>
      <c r="Z40" s="24" t="s">
        <v>1495</v>
      </c>
    </row>
    <row r="41" spans="1:26" ht="42" x14ac:dyDescent="0.15">
      <c r="A41" t="s">
        <v>358</v>
      </c>
      <c r="B41" t="s">
        <v>359</v>
      </c>
      <c r="C41">
        <v>2024</v>
      </c>
      <c r="D41" t="s">
        <v>126</v>
      </c>
      <c r="E41" t="s">
        <v>321</v>
      </c>
      <c r="F41" t="s">
        <v>17</v>
      </c>
      <c r="G41">
        <v>396</v>
      </c>
      <c r="H41" t="s">
        <v>361</v>
      </c>
      <c r="I41" t="str">
        <f>VLOOKUP($D41,Scopus!$A$2:$K$49,3,FALSE)</f>
        <v>82.0%
18/99
Fluid Flow and Transfer Processes</v>
      </c>
      <c r="J41" t="str">
        <f>VLOOKUP($D41,Scopus!$A$2:$K$49,10,FALSE)</f>
        <v>Q2</v>
      </c>
      <c r="K41" t="str">
        <f>VLOOKUP($D41,Scopus!$A$2:$K$49,11,FALSE)</f>
        <v>2076-3417</v>
      </c>
      <c r="L41" t="e">
        <f t="shared" si="0"/>
        <v>#N/A</v>
      </c>
    </row>
    <row r="42" spans="1:26" ht="42" x14ac:dyDescent="0.15">
      <c r="A42" t="s">
        <v>375</v>
      </c>
      <c r="B42" t="s">
        <v>376</v>
      </c>
      <c r="C42">
        <v>2024</v>
      </c>
      <c r="D42" t="s">
        <v>377</v>
      </c>
      <c r="E42" t="s">
        <v>321</v>
      </c>
      <c r="F42" t="s">
        <v>17</v>
      </c>
      <c r="G42">
        <v>389</v>
      </c>
      <c r="H42" t="s">
        <v>379</v>
      </c>
      <c r="I42" t="str">
        <f>VLOOKUP($D42,Scopus!$A$2:$K$49,3,FALSE)</f>
        <v>99.0%
2/397
Modeling and Simulation</v>
      </c>
      <c r="J42" t="str">
        <f>VLOOKUP($D42,Scopus!$A$2:$K$49,10,FALSE)</f>
        <v>Q1</v>
      </c>
      <c r="K42" t="str">
        <f>VLOOKUP($D42,Scopus!$A$2:$K$49,11,FALSE)</f>
        <v>2731-538X</v>
      </c>
      <c r="L42" t="e">
        <f t="shared" si="0"/>
        <v>#N/A</v>
      </c>
    </row>
    <row r="43" spans="1:26" ht="42" x14ac:dyDescent="0.15">
      <c r="A43" t="s">
        <v>536</v>
      </c>
      <c r="B43" t="s">
        <v>537</v>
      </c>
      <c r="C43">
        <v>2020</v>
      </c>
      <c r="D43" s="31" t="s">
        <v>1615</v>
      </c>
      <c r="E43" t="s">
        <v>321</v>
      </c>
      <c r="F43" t="s">
        <v>75</v>
      </c>
      <c r="G43">
        <v>315</v>
      </c>
      <c r="H43" t="s">
        <v>540</v>
      </c>
      <c r="I43" t="str">
        <f>VLOOKUP($D43,Scopus!$A$2:$K$49,3,FALSE)</f>
        <v>93.0%
7/97
Nuclear and High Energy Physics</v>
      </c>
      <c r="J43" t="str">
        <f>VLOOKUP($D43,Scopus!$A$2:$K$49,10,FALSE)</f>
        <v>Q1</v>
      </c>
      <c r="K43" t="str">
        <f>VLOOKUP($D43,Scopus!$A$2:$K$49,11,FALSE)</f>
        <v>2470-0010</v>
      </c>
      <c r="L43" t="e">
        <f t="shared" si="0"/>
        <v>#N/A</v>
      </c>
    </row>
    <row r="44" spans="1:26" ht="42" x14ac:dyDescent="0.15">
      <c r="A44" t="s">
        <v>418</v>
      </c>
      <c r="B44" t="s">
        <v>419</v>
      </c>
      <c r="C44">
        <v>2023</v>
      </c>
      <c r="D44" t="s">
        <v>420</v>
      </c>
      <c r="E44" t="s">
        <v>321</v>
      </c>
      <c r="F44" t="s">
        <v>17</v>
      </c>
      <c r="G44">
        <v>264</v>
      </c>
      <c r="H44" t="s">
        <v>422</v>
      </c>
      <c r="I44" t="str">
        <f>VLOOKUP($D44,Scopus!$A$2:$K$49,3,FALSE)</f>
        <v>91.0%
19/206
Instrumentation</v>
      </c>
      <c r="J44" t="str">
        <f>VLOOKUP($D44,Scopus!$A$2:$K$49,10,FALSE)</f>
        <v>Q1</v>
      </c>
      <c r="K44" t="str">
        <f>VLOOKUP($D44,Scopus!$A$2:$K$49,11,FALSE)</f>
        <v>1424-8220</v>
      </c>
      <c r="L44" t="e">
        <f t="shared" si="0"/>
        <v>#N/A</v>
      </c>
    </row>
    <row r="45" spans="1:26" ht="42" x14ac:dyDescent="0.15">
      <c r="A45" t="s">
        <v>465</v>
      </c>
      <c r="B45" t="s">
        <v>466</v>
      </c>
      <c r="C45">
        <v>2022</v>
      </c>
      <c r="D45" t="s">
        <v>467</v>
      </c>
      <c r="E45" t="s">
        <v>321</v>
      </c>
      <c r="F45" t="s">
        <v>75</v>
      </c>
      <c r="G45">
        <v>247</v>
      </c>
      <c r="H45" t="s">
        <v>469</v>
      </c>
      <c r="I45" t="str">
        <f>VLOOKUP($D45,Scopus!$A$2:$K$49,3,FALSE)</f>
        <v>96.0%
17/503
Software</v>
      </c>
      <c r="J45" t="str">
        <f>VLOOKUP($D45,Scopus!$A$2:$K$49,10,FALSE)</f>
        <v>Q1</v>
      </c>
      <c r="K45" t="str">
        <f>VLOOKUP($D45,Scopus!$A$2:$K$49,11,FALSE)</f>
        <v>0956-5515</v>
      </c>
      <c r="L45" t="e">
        <f t="shared" si="0"/>
        <v>#N/A</v>
      </c>
    </row>
    <row r="46" spans="1:26" ht="42" x14ac:dyDescent="0.15">
      <c r="A46" t="s">
        <v>625</v>
      </c>
      <c r="B46" t="s">
        <v>626</v>
      </c>
      <c r="C46">
        <v>2020</v>
      </c>
      <c r="D46" t="s">
        <v>559</v>
      </c>
      <c r="E46" t="s">
        <v>599</v>
      </c>
      <c r="F46" t="s">
        <v>17</v>
      </c>
      <c r="G46">
        <v>245</v>
      </c>
      <c r="H46" t="s">
        <v>628</v>
      </c>
      <c r="I46" t="str">
        <f>VLOOKUP($D46,Scopus!$A$2:$K$49,3,FALSE)</f>
        <v>74.0%
29/112
General Neuroscience</v>
      </c>
      <c r="J46" t="str">
        <f>VLOOKUP($D46,Scopus!$A$2:$K$49,10,FALSE)</f>
        <v>Q2</v>
      </c>
      <c r="K46" t="str">
        <f>VLOOKUP($D46,Scopus!$A$2:$K$49,11,FALSE)</f>
        <v>1662-453X</v>
      </c>
      <c r="L46" t="e">
        <f t="shared" si="0"/>
        <v>#N/A</v>
      </c>
    </row>
    <row r="47" spans="1:26" ht="42" x14ac:dyDescent="0.15">
      <c r="A47" t="s">
        <v>297</v>
      </c>
      <c r="B47" t="s">
        <v>298</v>
      </c>
      <c r="C47">
        <v>2021</v>
      </c>
      <c r="D47" t="s">
        <v>299</v>
      </c>
      <c r="E47" t="s">
        <v>237</v>
      </c>
      <c r="F47" t="s">
        <v>32</v>
      </c>
      <c r="G47">
        <v>233</v>
      </c>
      <c r="H47" t="s">
        <v>301</v>
      </c>
      <c r="I47" t="str">
        <f>VLOOKUP($D47,Scopus!$A$2:$K$49,3,FALSE)</f>
        <v>92.0%
24/296
Library and Information Sciences</v>
      </c>
      <c r="J47" t="str">
        <f>VLOOKUP($D47,Scopus!$A$2:$K$49,10,FALSE)</f>
        <v>Q2</v>
      </c>
      <c r="K47" t="str">
        <f>VLOOKUP($D47,Scopus!$A$2:$K$49,11,FALSE)</f>
        <v>1617-4909</v>
      </c>
      <c r="L47" t="e">
        <f t="shared" si="0"/>
        <v>#N/A</v>
      </c>
    </row>
    <row r="48" spans="1:26" ht="42" x14ac:dyDescent="0.15">
      <c r="A48" t="s">
        <v>487</v>
      </c>
      <c r="B48" t="s">
        <v>488</v>
      </c>
      <c r="C48">
        <v>2021</v>
      </c>
      <c r="D48" t="s">
        <v>126</v>
      </c>
      <c r="E48" t="s">
        <v>321</v>
      </c>
      <c r="F48" t="s">
        <v>17</v>
      </c>
      <c r="G48">
        <v>202</v>
      </c>
      <c r="H48" t="s">
        <v>490</v>
      </c>
      <c r="I48" t="str">
        <f>VLOOKUP($D48,Scopus!$A$2:$K$49,3,FALSE)</f>
        <v>82.0%
18/99
Fluid Flow and Transfer Processes</v>
      </c>
      <c r="J48" t="str">
        <f>VLOOKUP($D48,Scopus!$A$2:$K$49,10,FALSE)</f>
        <v>Q2</v>
      </c>
      <c r="K48" t="str">
        <f>VLOOKUP($D48,Scopus!$A$2:$K$49,11,FALSE)</f>
        <v>2076-3417</v>
      </c>
      <c r="L48" t="e">
        <f t="shared" si="0"/>
        <v>#N/A</v>
      </c>
    </row>
    <row r="49" spans="1:12" ht="42" x14ac:dyDescent="0.15">
      <c r="A49" t="s">
        <v>406</v>
      </c>
      <c r="B49" t="s">
        <v>407</v>
      </c>
      <c r="C49">
        <v>2023</v>
      </c>
      <c r="D49" t="s">
        <v>408</v>
      </c>
      <c r="E49" t="s">
        <v>321</v>
      </c>
      <c r="F49" t="s">
        <v>17</v>
      </c>
      <c r="G49">
        <v>194</v>
      </c>
      <c r="H49" t="s">
        <v>410</v>
      </c>
      <c r="I49" t="str">
        <f>VLOOKUP($D49,Scopus!$A$2:$K$49,3,FALSE)</f>
        <v>93.0%
13/203
Computational Theory and Mathematics</v>
      </c>
      <c r="J49" t="str">
        <f>VLOOKUP($D49,Scopus!$A$2:$K$49,10,FALSE)</f>
        <v>Q1</v>
      </c>
      <c r="K49" t="str">
        <f>VLOOKUP($D49,Scopus!$A$2:$K$49,11,FALSE)</f>
        <v>2666-8270</v>
      </c>
      <c r="L49" t="e">
        <f t="shared" si="0"/>
        <v>#N/A</v>
      </c>
    </row>
    <row r="50" spans="1:12" ht="42" x14ac:dyDescent="0.15">
      <c r="A50" t="s">
        <v>1236</v>
      </c>
      <c r="B50" t="s">
        <v>1237</v>
      </c>
      <c r="C50">
        <v>2022</v>
      </c>
      <c r="D50" s="31" t="s">
        <v>1527</v>
      </c>
      <c r="E50" t="s">
        <v>1053</v>
      </c>
      <c r="F50" t="s">
        <v>32</v>
      </c>
      <c r="G50">
        <v>176</v>
      </c>
      <c r="H50" t="s">
        <v>1240</v>
      </c>
      <c r="I50" t="str">
        <f>VLOOKUP($D50,Scopus!$A$2:$K$49,3,FALSE)</f>
        <v>99.0%
1/1030
Electrical and Electronic Engineering</v>
      </c>
      <c r="J50" t="str">
        <f>VLOOKUP($D50,Scopus!$A$2:$K$49,10,FALSE)</f>
        <v>Q1</v>
      </c>
      <c r="K50" t="str">
        <f>VLOOKUP($D50,Scopus!$A$2:$K$49,11,FALSE)</f>
        <v>1553-877X</v>
      </c>
      <c r="L50" t="e">
        <f t="shared" si="0"/>
        <v>#N/A</v>
      </c>
    </row>
    <row r="51" spans="1:12" ht="42" x14ac:dyDescent="0.15">
      <c r="A51" t="s">
        <v>454</v>
      </c>
      <c r="B51" t="s">
        <v>455</v>
      </c>
      <c r="C51">
        <v>2022</v>
      </c>
      <c r="D51" t="s">
        <v>456</v>
      </c>
      <c r="E51" t="s">
        <v>321</v>
      </c>
      <c r="F51" t="s">
        <v>75</v>
      </c>
      <c r="G51">
        <v>142</v>
      </c>
      <c r="H51" t="s">
        <v>458</v>
      </c>
      <c r="I51" t="str">
        <f>VLOOKUP($D51,Scopus!$A$2:$K$49,3,FALSE)</f>
        <v>92.0%
33/414
General Mathematics</v>
      </c>
      <c r="J51" t="str">
        <f>VLOOKUP($D51,Scopus!$A$2:$K$49,10,FALSE)</f>
        <v>Q2</v>
      </c>
      <c r="K51" t="str">
        <f>VLOOKUP($D51,Scopus!$A$2:$K$49,11,FALSE)</f>
        <v>2227-7390</v>
      </c>
      <c r="L51" t="e">
        <f t="shared" si="0"/>
        <v>#N/A</v>
      </c>
    </row>
    <row r="52" spans="1:12" ht="42" x14ac:dyDescent="0.15">
      <c r="A52" t="s">
        <v>471</v>
      </c>
      <c r="B52" t="s">
        <v>472</v>
      </c>
      <c r="C52">
        <v>2022</v>
      </c>
      <c r="D52" t="s">
        <v>420</v>
      </c>
      <c r="E52" t="s">
        <v>321</v>
      </c>
      <c r="F52" t="s">
        <v>32</v>
      </c>
      <c r="G52">
        <v>124</v>
      </c>
      <c r="H52" t="s">
        <v>474</v>
      </c>
      <c r="I52" t="str">
        <f>VLOOKUP($D52,Scopus!$A$2:$K$49,3,FALSE)</f>
        <v>91.0%
19/206
Instrumentation</v>
      </c>
      <c r="J52" t="str">
        <f>VLOOKUP($D52,Scopus!$A$2:$K$49,10,FALSE)</f>
        <v>Q1</v>
      </c>
      <c r="K52" t="str">
        <f>VLOOKUP($D52,Scopus!$A$2:$K$49,11,FALSE)</f>
        <v>1424-8220</v>
      </c>
      <c r="L52" t="e">
        <f t="shared" si="0"/>
        <v>#N/A</v>
      </c>
    </row>
    <row r="53" spans="1:12" ht="42" x14ac:dyDescent="0.15">
      <c r="A53" t="s">
        <v>1036</v>
      </c>
      <c r="B53" t="s">
        <v>1037</v>
      </c>
      <c r="C53">
        <v>2021</v>
      </c>
      <c r="D53" t="s">
        <v>1038</v>
      </c>
      <c r="E53" t="s">
        <v>957</v>
      </c>
      <c r="F53" t="s">
        <v>75</v>
      </c>
      <c r="G53">
        <v>87</v>
      </c>
      <c r="H53" t="s">
        <v>1040</v>
      </c>
      <c r="I53" t="e">
        <f>VLOOKUP($D53,Scopus!$A$2:$K$49,3,FALSE)</f>
        <v>#N/A</v>
      </c>
      <c r="J53" t="e">
        <f>VLOOKUP($D53,Scopus!$A$2:$K$49,10,FALSE)</f>
        <v>#N/A</v>
      </c>
      <c r="K53" t="e">
        <f>VLOOKUP($D53,Scopus!$A$2:$K$49,11,FALSE)</f>
        <v>#N/A</v>
      </c>
      <c r="L53" t="e">
        <f t="shared" si="0"/>
        <v>#N/A</v>
      </c>
    </row>
    <row r="54" spans="1:12" ht="42" x14ac:dyDescent="0.15">
      <c r="A54" t="s">
        <v>476</v>
      </c>
      <c r="B54" t="s">
        <v>477</v>
      </c>
      <c r="C54">
        <v>2021</v>
      </c>
      <c r="D54" t="s">
        <v>143</v>
      </c>
      <c r="E54" t="s">
        <v>321</v>
      </c>
      <c r="F54" t="s">
        <v>75</v>
      </c>
      <c r="G54">
        <v>80</v>
      </c>
      <c r="H54" t="s">
        <v>479</v>
      </c>
      <c r="I54" t="str">
        <f>VLOOKUP($D54,Scopus!$A$2:$K$49,3,FALSE)</f>
        <v>95.0%
10/198
Control and Optimization</v>
      </c>
      <c r="J54" t="str">
        <f>VLOOKUP($D54,Scopus!$A$2:$K$49,10,FALSE)</f>
        <v>Q1</v>
      </c>
      <c r="K54" t="str">
        <f>VLOOKUP($D54,Scopus!$A$2:$K$49,11,FALSE)</f>
        <v>1996-1073</v>
      </c>
      <c r="L54" t="e">
        <f t="shared" si="0"/>
        <v>#N/A</v>
      </c>
    </row>
    <row r="55" spans="1:12" ht="42" x14ac:dyDescent="0.15">
      <c r="A55" t="s">
        <v>557</v>
      </c>
      <c r="B55" t="s">
        <v>558</v>
      </c>
      <c r="C55">
        <v>2020</v>
      </c>
      <c r="D55" t="s">
        <v>559</v>
      </c>
      <c r="E55" t="s">
        <v>321</v>
      </c>
      <c r="F55" t="s">
        <v>32</v>
      </c>
      <c r="G55">
        <v>71</v>
      </c>
      <c r="H55" t="s">
        <v>561</v>
      </c>
      <c r="I55" t="str">
        <f>VLOOKUP($D55,Scopus!$A$2:$K$49,3,FALSE)</f>
        <v>74.0%
29/112
General Neuroscience</v>
      </c>
      <c r="J55" t="str">
        <f>VLOOKUP($D55,Scopus!$A$2:$K$49,10,FALSE)</f>
        <v>Q2</v>
      </c>
      <c r="K55" t="str">
        <f>VLOOKUP($D55,Scopus!$A$2:$K$49,11,FALSE)</f>
        <v>1662-453X</v>
      </c>
      <c r="L55" t="e">
        <f t="shared" si="0"/>
        <v>#N/A</v>
      </c>
    </row>
    <row r="56" spans="1:12" ht="42" x14ac:dyDescent="0.15">
      <c r="A56" t="s">
        <v>530</v>
      </c>
      <c r="B56" t="s">
        <v>531</v>
      </c>
      <c r="C56">
        <v>2020</v>
      </c>
      <c r="D56" t="s">
        <v>532</v>
      </c>
      <c r="E56" t="s">
        <v>321</v>
      </c>
      <c r="F56" t="s">
        <v>75</v>
      </c>
      <c r="G56">
        <v>68</v>
      </c>
      <c r="H56" t="s">
        <v>534</v>
      </c>
      <c r="I56" t="str">
        <f>VLOOKUP($D56,Scopus!$A$2:$K$49,3,FALSE)</f>
        <v>93.0%
64/1030
Electrical and Electronic Engineering</v>
      </c>
      <c r="J56" t="str">
        <f>VLOOKUP($D56,Scopus!$A$2:$K$49,10,FALSE)</f>
        <v>Q1</v>
      </c>
      <c r="K56" t="str">
        <f>VLOOKUP($D56,Scopus!$A$2:$K$49,11,FALSE)</f>
        <v>1545-5971</v>
      </c>
      <c r="L56" t="e">
        <f t="shared" si="0"/>
        <v>#N/A</v>
      </c>
    </row>
    <row r="57" spans="1:12" ht="14" x14ac:dyDescent="0.15">
      <c r="A57" t="s">
        <v>220</v>
      </c>
      <c r="B57" t="s">
        <v>221</v>
      </c>
      <c r="C57">
        <v>2020</v>
      </c>
      <c r="D57" s="31" t="s">
        <v>222</v>
      </c>
      <c r="E57" t="s">
        <v>155</v>
      </c>
      <c r="F57" t="s">
        <v>32</v>
      </c>
      <c r="G57">
        <v>62</v>
      </c>
      <c r="H57" t="s">
        <v>224</v>
      </c>
      <c r="I57" t="str">
        <f>VLOOKUP($D57,Scopus!$A$2:$K$49,3,FALSE)</f>
        <v>75.0%
45/183
Computer Vision and Pattern Recognition</v>
      </c>
      <c r="J57" t="str">
        <f>VLOOKUP($D57,Scopus!$A$2:$K$49,10,FALSE)</f>
        <v>Q2</v>
      </c>
      <c r="K57" t="str">
        <f>VLOOKUP($D57,Scopus!$A$2:$K$49,11,FALSE)</f>
        <v>2624-9898</v>
      </c>
      <c r="L57" t="e">
        <f t="shared" si="0"/>
        <v>#N/A</v>
      </c>
    </row>
    <row r="58" spans="1:12" ht="42" x14ac:dyDescent="0.15">
      <c r="A58" t="s">
        <v>1165</v>
      </c>
      <c r="B58" t="s">
        <v>1166</v>
      </c>
      <c r="C58">
        <v>2025</v>
      </c>
      <c r="D58" t="s">
        <v>1167</v>
      </c>
      <c r="E58" t="s">
        <v>1053</v>
      </c>
      <c r="F58" t="s">
        <v>17</v>
      </c>
      <c r="G58">
        <v>57</v>
      </c>
      <c r="H58" t="s">
        <v>1168</v>
      </c>
      <c r="I58" t="str">
        <f>VLOOKUP($D58,Scopus!$A$2:$K$49,3,FALSE)</f>
        <v>85.0%
101/680
Applied Mathematics</v>
      </c>
      <c r="J58" t="str">
        <f>VLOOKUP($D58,Scopus!$A$2:$K$49,10,FALSE)</f>
        <v>Q2</v>
      </c>
      <c r="K58" t="str">
        <f>VLOOKUP($D58,Scopus!$A$2:$K$49,11,FALSE)</f>
        <v>2079-3197</v>
      </c>
      <c r="L58" t="e">
        <f t="shared" si="0"/>
        <v>#N/A</v>
      </c>
    </row>
    <row r="59" spans="1:12" ht="42" x14ac:dyDescent="0.15">
      <c r="A59" t="s">
        <v>141</v>
      </c>
      <c r="B59" t="s">
        <v>142</v>
      </c>
      <c r="C59">
        <v>2021</v>
      </c>
      <c r="D59" t="s">
        <v>143</v>
      </c>
      <c r="E59" t="s">
        <v>91</v>
      </c>
      <c r="F59" t="s">
        <v>32</v>
      </c>
      <c r="G59">
        <v>53</v>
      </c>
      <c r="H59" t="s">
        <v>145</v>
      </c>
      <c r="I59" t="str">
        <f>VLOOKUP($D59,Scopus!$A$2:$K$49,3,FALSE)</f>
        <v>95.0%
10/198
Control and Optimization</v>
      </c>
      <c r="J59" t="str">
        <f>VLOOKUP($D59,Scopus!$A$2:$K$49,10,FALSE)</f>
        <v>Q1</v>
      </c>
      <c r="K59" t="str">
        <f>VLOOKUP($D59,Scopus!$A$2:$K$49,11,FALSE)</f>
        <v>1996-1073</v>
      </c>
      <c r="L59" t="e">
        <f t="shared" si="0"/>
        <v>#N/A</v>
      </c>
    </row>
    <row r="60" spans="1:12" ht="42" x14ac:dyDescent="0.15">
      <c r="A60" t="s">
        <v>130</v>
      </c>
      <c r="B60" t="s">
        <v>131</v>
      </c>
      <c r="C60">
        <v>2023</v>
      </c>
      <c r="D60" t="s">
        <v>126</v>
      </c>
      <c r="E60" t="s">
        <v>91</v>
      </c>
      <c r="F60" t="s">
        <v>75</v>
      </c>
      <c r="G60">
        <v>52</v>
      </c>
      <c r="H60" t="s">
        <v>133</v>
      </c>
      <c r="I60" t="str">
        <f>VLOOKUP($D60,Scopus!$A$2:$K$49,3,FALSE)</f>
        <v>82.0%
18/99
Fluid Flow and Transfer Processes</v>
      </c>
      <c r="J60" t="str">
        <f>VLOOKUP($D60,Scopus!$A$2:$K$49,10,FALSE)</f>
        <v>Q2</v>
      </c>
      <c r="K60" t="str">
        <f>VLOOKUP($D60,Scopus!$A$2:$K$49,11,FALSE)</f>
        <v>2076-3417</v>
      </c>
      <c r="L60" t="e">
        <f t="shared" si="0"/>
        <v>#N/A</v>
      </c>
    </row>
    <row r="61" spans="1:12" ht="42" x14ac:dyDescent="0.15">
      <c r="A61" t="s">
        <v>816</v>
      </c>
      <c r="B61" t="s">
        <v>817</v>
      </c>
      <c r="C61">
        <v>2025</v>
      </c>
      <c r="D61" t="s">
        <v>175</v>
      </c>
      <c r="E61" t="s">
        <v>640</v>
      </c>
      <c r="F61" t="s">
        <v>32</v>
      </c>
      <c r="G61">
        <v>52</v>
      </c>
      <c r="H61" t="s">
        <v>818</v>
      </c>
      <c r="I61" t="str">
        <f>VLOOKUP($D61,Scopus!$A$2:$K$49,3,FALSE)</f>
        <v>79.0%
108/519
Information Systems</v>
      </c>
      <c r="J61" t="str">
        <f>VLOOKUP($D61,Scopus!$A$2:$K$49,10,FALSE)</f>
        <v>Q2</v>
      </c>
      <c r="K61" t="str">
        <f>VLOOKUP($D61,Scopus!$A$2:$K$49,11,FALSE)</f>
        <v>2078-2489</v>
      </c>
      <c r="L61" t="e">
        <f t="shared" si="0"/>
        <v>#N/A</v>
      </c>
    </row>
    <row r="62" spans="1:12" ht="42" x14ac:dyDescent="0.15">
      <c r="A62" t="s">
        <v>303</v>
      </c>
      <c r="B62" t="s">
        <v>304</v>
      </c>
      <c r="C62">
        <v>2021</v>
      </c>
      <c r="D62" t="s">
        <v>305</v>
      </c>
      <c r="E62" t="s">
        <v>237</v>
      </c>
      <c r="F62" t="s">
        <v>32</v>
      </c>
      <c r="G62">
        <v>50</v>
      </c>
      <c r="H62" t="s">
        <v>307</v>
      </c>
      <c r="I62" t="str">
        <f>VLOOKUP($D62,Scopus!$A$2:$K$49,3,FALSE)</f>
        <v>87.0%
130/1022
Computer Science Applications</v>
      </c>
      <c r="J62" t="str">
        <f>VLOOKUP($D62,Scopus!$A$2:$K$49,10,FALSE)</f>
        <v>Q1</v>
      </c>
      <c r="K62" t="str">
        <f>VLOOKUP($D62,Scopus!$A$2:$K$49,11,FALSE)</f>
        <v>1438-8871</v>
      </c>
      <c r="L62" t="e">
        <f t="shared" si="0"/>
        <v>#N/A</v>
      </c>
    </row>
    <row r="63" spans="1:12" ht="42" x14ac:dyDescent="0.15">
      <c r="A63" t="s">
        <v>835</v>
      </c>
      <c r="B63" t="s">
        <v>836</v>
      </c>
      <c r="C63">
        <v>2025</v>
      </c>
      <c r="D63" t="s">
        <v>837</v>
      </c>
      <c r="E63" t="s">
        <v>640</v>
      </c>
      <c r="F63" t="s">
        <v>32</v>
      </c>
      <c r="G63">
        <v>45</v>
      </c>
      <c r="H63" t="s">
        <v>838</v>
      </c>
      <c r="I63" t="e">
        <f>VLOOKUP($D63,Scopus!$A$2:$K$49,3,FALSE)</f>
        <v>#N/A</v>
      </c>
      <c r="J63" t="e">
        <f>VLOOKUP($D63,Scopus!$A$2:$K$49,10,FALSE)</f>
        <v>#N/A</v>
      </c>
      <c r="K63" t="e">
        <f>VLOOKUP($D63,Scopus!$A$2:$K$49,11,FALSE)</f>
        <v>#N/A</v>
      </c>
      <c r="L63" t="e">
        <f t="shared" si="0"/>
        <v>#N/A</v>
      </c>
    </row>
    <row r="64" spans="1:12" ht="42" x14ac:dyDescent="0.15">
      <c r="A64" t="s">
        <v>201</v>
      </c>
      <c r="B64" t="s">
        <v>202</v>
      </c>
      <c r="C64">
        <v>2022</v>
      </c>
      <c r="D64" t="s">
        <v>203</v>
      </c>
      <c r="E64" t="s">
        <v>155</v>
      </c>
      <c r="F64" t="s">
        <v>32</v>
      </c>
      <c r="G64">
        <v>33</v>
      </c>
      <c r="H64" t="s">
        <v>205</v>
      </c>
      <c r="I64" t="str">
        <f>VLOOKUP($D64,Scopus!$A$2:$K$49,3,FALSE)</f>
        <v>98.0%
2/143
Automotive Engineering</v>
      </c>
      <c r="J64" t="str">
        <f>VLOOKUP($D64,Scopus!$A$2:$K$49,10,FALSE)</f>
        <v>Q1</v>
      </c>
      <c r="K64" t="str">
        <f>VLOOKUP($D64,Scopus!$A$2:$K$49,11,FALSE)</f>
        <v>1524-9050</v>
      </c>
      <c r="L64" t="e">
        <f t="shared" si="0"/>
        <v>#N/A</v>
      </c>
    </row>
    <row r="65" spans="1:12" ht="42" x14ac:dyDescent="0.15">
      <c r="A65" t="s">
        <v>1227</v>
      </c>
      <c r="B65" t="s">
        <v>1228</v>
      </c>
      <c r="C65">
        <v>2023</v>
      </c>
      <c r="D65" t="s">
        <v>126</v>
      </c>
      <c r="E65" t="s">
        <v>1053</v>
      </c>
      <c r="F65" t="s">
        <v>75</v>
      </c>
      <c r="G65">
        <v>32</v>
      </c>
      <c r="H65" t="s">
        <v>1229</v>
      </c>
      <c r="I65" t="str">
        <f>VLOOKUP($D65,Scopus!$A$2:$K$49,3,FALSE)</f>
        <v>82.0%
18/99
Fluid Flow and Transfer Processes</v>
      </c>
      <c r="J65" t="str">
        <f>VLOOKUP($D65,Scopus!$A$2:$K$49,10,FALSE)</f>
        <v>Q2</v>
      </c>
      <c r="K65" t="str">
        <f>VLOOKUP($D65,Scopus!$A$2:$K$49,11,FALSE)</f>
        <v>2076-3417</v>
      </c>
      <c r="L65" t="e">
        <f t="shared" si="0"/>
        <v>#N/A</v>
      </c>
    </row>
    <row r="66" spans="1:12" ht="42" x14ac:dyDescent="0.15">
      <c r="A66" t="s">
        <v>173</v>
      </c>
      <c r="B66" t="s">
        <v>174</v>
      </c>
      <c r="C66">
        <v>2025</v>
      </c>
      <c r="D66" t="s">
        <v>175</v>
      </c>
      <c r="E66" t="s">
        <v>155</v>
      </c>
      <c r="F66" t="s">
        <v>32</v>
      </c>
      <c r="G66">
        <v>31</v>
      </c>
      <c r="H66" t="s">
        <v>177</v>
      </c>
      <c r="I66" t="str">
        <f>VLOOKUP($D66,Scopus!$A$2:$K$49,3,FALSE)</f>
        <v>79.0%
108/519
Information Systems</v>
      </c>
      <c r="J66" t="str">
        <f>VLOOKUP($D66,Scopus!$A$2:$K$49,10,FALSE)</f>
        <v>Q2</v>
      </c>
      <c r="K66" t="str">
        <f>VLOOKUP($D66,Scopus!$A$2:$K$49,11,FALSE)</f>
        <v>2078-2489</v>
      </c>
      <c r="L66" t="e">
        <f t="shared" si="0"/>
        <v>#N/A</v>
      </c>
    </row>
    <row r="67" spans="1:12" ht="42" x14ac:dyDescent="0.15">
      <c r="A67" t="s">
        <v>1170</v>
      </c>
      <c r="B67" t="s">
        <v>1171</v>
      </c>
      <c r="C67">
        <v>2025</v>
      </c>
      <c r="D67" t="s">
        <v>1172</v>
      </c>
      <c r="E67" t="s">
        <v>1053</v>
      </c>
      <c r="F67" t="s">
        <v>17</v>
      </c>
      <c r="G67">
        <v>28</v>
      </c>
      <c r="H67" t="s">
        <v>1174</v>
      </c>
      <c r="I67" t="str">
        <f>VLOOKUP($D67,Scopus!$A$2:$K$49,3,FALSE)</f>
        <v>99.0%
1/1221
Linguistics and Language</v>
      </c>
      <c r="J67" t="str">
        <f>VLOOKUP($D67,Scopus!$A$2:$K$49,10,FALSE)</f>
        <v>Q1</v>
      </c>
      <c r="K67" t="str">
        <f>VLOOKUP($D67,Scopus!$A$2:$K$49,11,FALSE)</f>
        <v>0269-2821</v>
      </c>
      <c r="L67" t="e">
        <f t="shared" ref="L67:L94" si="1">VLOOKUP(H67,$M$1:$Z$40,14,FALSE)</f>
        <v>#N/A</v>
      </c>
    </row>
    <row r="68" spans="1:12" ht="42" x14ac:dyDescent="0.15">
      <c r="A68" t="s">
        <v>1103</v>
      </c>
      <c r="B68" t="s">
        <v>1104</v>
      </c>
      <c r="C68">
        <v>2025</v>
      </c>
      <c r="D68" t="s">
        <v>770</v>
      </c>
      <c r="E68" t="s">
        <v>1053</v>
      </c>
      <c r="F68" t="s">
        <v>75</v>
      </c>
      <c r="G68">
        <v>27</v>
      </c>
      <c r="H68" t="s">
        <v>1105</v>
      </c>
      <c r="I68" t="str">
        <f>VLOOKUP($D68,Scopus!$A$2:$K$49,3,FALSE)</f>
        <v>86.0%
25/179
Computer Science (miscellaneous)</v>
      </c>
      <c r="J68" t="str">
        <f>VLOOKUP($D68,Scopus!$A$2:$K$49,10,FALSE)</f>
        <v>Q1</v>
      </c>
      <c r="K68" t="str">
        <f>VLOOKUP($D68,Scopus!$A$2:$K$49,11,FALSE)</f>
        <v>2073-431X</v>
      </c>
      <c r="L68" t="e">
        <f t="shared" si="1"/>
        <v>#N/A</v>
      </c>
    </row>
    <row r="69" spans="1:12" ht="42" x14ac:dyDescent="0.15">
      <c r="A69" t="s">
        <v>185</v>
      </c>
      <c r="B69" t="s">
        <v>186</v>
      </c>
      <c r="C69">
        <v>2023</v>
      </c>
      <c r="D69" s="36" t="s">
        <v>187</v>
      </c>
      <c r="E69" t="s">
        <v>155</v>
      </c>
      <c r="F69" t="s">
        <v>32</v>
      </c>
      <c r="G69">
        <v>24</v>
      </c>
      <c r="H69" t="s">
        <v>189</v>
      </c>
      <c r="I69" t="e">
        <f>VLOOKUP($D69,Scopus!$A$2:$K$49,3,FALSE)</f>
        <v>#N/A</v>
      </c>
      <c r="J69" t="e">
        <f>VLOOKUP($D69,Scopus!$A$2:$K$49,10,FALSE)</f>
        <v>#N/A</v>
      </c>
      <c r="K69" t="e">
        <f>VLOOKUP($D69,Scopus!$A$2:$K$49,11,FALSE)</f>
        <v>#N/A</v>
      </c>
      <c r="L69" t="e">
        <f t="shared" si="1"/>
        <v>#N/A</v>
      </c>
    </row>
    <row r="70" spans="1:12" ht="42" x14ac:dyDescent="0.15">
      <c r="A70" t="s">
        <v>1110</v>
      </c>
      <c r="B70" t="s">
        <v>1111</v>
      </c>
      <c r="C70">
        <v>2025</v>
      </c>
      <c r="D70" t="s">
        <v>1112</v>
      </c>
      <c r="E70" t="s">
        <v>1053</v>
      </c>
      <c r="F70" t="s">
        <v>17</v>
      </c>
      <c r="G70">
        <v>24</v>
      </c>
      <c r="H70" t="s">
        <v>1113</v>
      </c>
      <c r="I70" t="str">
        <f>VLOOKUP($D70,Scopus!$A$2:$K$49,3,FALSE)</f>
        <v>85.0%
27/179
Computer Science (miscellaneous)</v>
      </c>
      <c r="J70" t="str">
        <f>VLOOKUP($D70,Scopus!$A$2:$K$49,10,FALSE)</f>
        <v>Q1</v>
      </c>
      <c r="K70" t="str">
        <f>VLOOKUP($D70,Scopus!$A$2:$K$49,11,FALSE)</f>
        <v>2624-800X</v>
      </c>
      <c r="L70" t="e">
        <f t="shared" si="1"/>
        <v>#N/A</v>
      </c>
    </row>
    <row r="71" spans="1:12" ht="42" x14ac:dyDescent="0.15">
      <c r="A71" t="s">
        <v>881</v>
      </c>
      <c r="B71" t="s">
        <v>882</v>
      </c>
      <c r="C71">
        <v>2024</v>
      </c>
      <c r="D71" t="s">
        <v>883</v>
      </c>
      <c r="E71" t="s">
        <v>640</v>
      </c>
      <c r="F71" t="s">
        <v>75</v>
      </c>
      <c r="G71">
        <v>22</v>
      </c>
      <c r="H71" t="s">
        <v>885</v>
      </c>
      <c r="I71" t="str">
        <f>VLOOKUP($D71,Scopus!$A$2:$K$49,3,FALSE)</f>
        <v>88.0%
29/245
Hardware and Architecture</v>
      </c>
      <c r="J71" t="str">
        <f>VLOOKUP($D71,Scopus!$A$2:$K$49,10,FALSE)</f>
        <v>Q1</v>
      </c>
      <c r="K71" t="str">
        <f>VLOOKUP($D71,Scopus!$A$2:$K$49,11,FALSE)</f>
        <v>0164-1212</v>
      </c>
      <c r="L71" t="e">
        <f t="shared" si="1"/>
        <v>#N/A</v>
      </c>
    </row>
    <row r="72" spans="1:12" ht="42" x14ac:dyDescent="0.15">
      <c r="A72" t="s">
        <v>124</v>
      </c>
      <c r="B72" t="s">
        <v>125</v>
      </c>
      <c r="C72">
        <v>2023</v>
      </c>
      <c r="D72" t="s">
        <v>126</v>
      </c>
      <c r="E72" t="s">
        <v>91</v>
      </c>
      <c r="F72" t="s">
        <v>75</v>
      </c>
      <c r="G72">
        <v>19</v>
      </c>
      <c r="H72" t="s">
        <v>128</v>
      </c>
      <c r="I72" t="str">
        <f>VLOOKUP($D72,Scopus!$A$2:$K$49,3,FALSE)</f>
        <v>82.0%
18/99
Fluid Flow and Transfer Processes</v>
      </c>
      <c r="J72" t="str">
        <f>VLOOKUP($D72,Scopus!$A$2:$K$49,10,FALSE)</f>
        <v>Q2</v>
      </c>
      <c r="K72" t="str">
        <f>VLOOKUP($D72,Scopus!$A$2:$K$49,11,FALSE)</f>
        <v>2076-3417</v>
      </c>
      <c r="L72" t="e">
        <f t="shared" si="1"/>
        <v>#N/A</v>
      </c>
    </row>
    <row r="73" spans="1:12" ht="42" x14ac:dyDescent="0.15">
      <c r="A73" t="s">
        <v>604</v>
      </c>
      <c r="B73" t="s">
        <v>605</v>
      </c>
      <c r="C73">
        <v>2024</v>
      </c>
      <c r="D73" t="s">
        <v>606</v>
      </c>
      <c r="E73" t="s">
        <v>599</v>
      </c>
      <c r="F73" t="s">
        <v>75</v>
      </c>
      <c r="G73">
        <v>18</v>
      </c>
      <c r="H73" t="s">
        <v>608</v>
      </c>
      <c r="I73" t="str">
        <f>VLOOKUP($D73,Scopus!$A$2:$K$49,3,FALSE)</f>
        <v>60.0%
42/106
Chemical Engineering (miscellaneous)</v>
      </c>
      <c r="J73" t="str">
        <f>VLOOKUP($D73,Scopus!$A$2:$K$49,10,FALSE)</f>
        <v>Q2</v>
      </c>
      <c r="K73" t="str">
        <f>VLOOKUP($D73,Scopus!$A$2:$K$49,11,FALSE)</f>
        <v>2227-9717</v>
      </c>
      <c r="L73" t="e">
        <f t="shared" si="1"/>
        <v>#N/A</v>
      </c>
    </row>
    <row r="74" spans="1:12" s="36" customFormat="1" ht="42" x14ac:dyDescent="0.15">
      <c r="A74" s="36" t="s">
        <v>481</v>
      </c>
      <c r="B74" s="36" t="s">
        <v>482</v>
      </c>
      <c r="C74" s="36">
        <v>2021</v>
      </c>
      <c r="D74" s="36" t="s">
        <v>483</v>
      </c>
      <c r="E74" s="36" t="s">
        <v>321</v>
      </c>
      <c r="F74" s="36" t="s">
        <v>75</v>
      </c>
      <c r="G74" s="36">
        <v>17</v>
      </c>
      <c r="H74" s="36" t="s">
        <v>485</v>
      </c>
      <c r="I74" t="e">
        <f>VLOOKUP($D74,Scopus!$A$2:$K$49,3,FALSE)</f>
        <v>#N/A</v>
      </c>
      <c r="J74" t="e">
        <f>VLOOKUP($D74,Scopus!$A$2:$K$49,10,FALSE)</f>
        <v>#N/A</v>
      </c>
      <c r="K74" t="e">
        <f>VLOOKUP($D74,Scopus!$A$2:$K$49,11,FALSE)</f>
        <v>#N/A</v>
      </c>
      <c r="L74" s="36" t="e">
        <f t="shared" si="1"/>
        <v>#N/A</v>
      </c>
    </row>
    <row r="75" spans="1:12" s="36" customFormat="1" ht="42" x14ac:dyDescent="0.15">
      <c r="A75" s="36" t="s">
        <v>788</v>
      </c>
      <c r="B75" s="36" t="s">
        <v>736</v>
      </c>
      <c r="C75" s="36">
        <v>2025</v>
      </c>
      <c r="D75" s="36" t="s">
        <v>789</v>
      </c>
      <c r="E75" s="36" t="s">
        <v>640</v>
      </c>
      <c r="F75" s="36" t="s">
        <v>17</v>
      </c>
      <c r="G75" s="36">
        <v>16</v>
      </c>
      <c r="H75" s="36" t="s">
        <v>790</v>
      </c>
      <c r="I75" t="e">
        <f>VLOOKUP($D75,Scopus!$A$2:$K$49,3,FALSE)</f>
        <v>#N/A</v>
      </c>
      <c r="J75" t="e">
        <f>VLOOKUP($D75,Scopus!$A$2:$K$49,10,FALSE)</f>
        <v>#N/A</v>
      </c>
      <c r="K75" t="e">
        <f>VLOOKUP($D75,Scopus!$A$2:$K$49,11,FALSE)</f>
        <v>#N/A</v>
      </c>
      <c r="L75" s="36" t="e">
        <f t="shared" si="1"/>
        <v>#N/A</v>
      </c>
    </row>
    <row r="76" spans="1:12" ht="42" x14ac:dyDescent="0.15">
      <c r="A76" t="s">
        <v>768</v>
      </c>
      <c r="B76" t="s">
        <v>769</v>
      </c>
      <c r="C76">
        <v>2025</v>
      </c>
      <c r="D76" t="s">
        <v>770</v>
      </c>
      <c r="E76" t="s">
        <v>640</v>
      </c>
      <c r="F76" t="s">
        <v>75</v>
      </c>
      <c r="G76">
        <v>16</v>
      </c>
      <c r="H76" t="s">
        <v>772</v>
      </c>
      <c r="I76" t="str">
        <f>VLOOKUP($D76,Scopus!$A$2:$K$49,3,FALSE)</f>
        <v>86.0%
25/179
Computer Science (miscellaneous)</v>
      </c>
      <c r="J76" t="str">
        <f>VLOOKUP($D76,Scopus!$A$2:$K$49,10,FALSE)</f>
        <v>Q1</v>
      </c>
      <c r="K76" t="str">
        <f>VLOOKUP($D76,Scopus!$A$2:$K$49,11,FALSE)</f>
        <v>2073-431X</v>
      </c>
      <c r="L76" t="e">
        <f t="shared" si="1"/>
        <v>#N/A</v>
      </c>
    </row>
    <row r="77" spans="1:12" ht="42" x14ac:dyDescent="0.15">
      <c r="A77" t="s">
        <v>412</v>
      </c>
      <c r="B77" t="s">
        <v>413</v>
      </c>
      <c r="C77">
        <v>2023</v>
      </c>
      <c r="D77" t="s">
        <v>414</v>
      </c>
      <c r="E77" t="s">
        <v>321</v>
      </c>
      <c r="F77" t="s">
        <v>75</v>
      </c>
      <c r="G77">
        <v>12</v>
      </c>
      <c r="H77" t="s">
        <v>416</v>
      </c>
      <c r="I77" t="str">
        <f>VLOOKUP($D77,Scopus!$A$2:$K$49,3,FALSE)</f>
        <v>83.0%
36/212
Computational Mathematics</v>
      </c>
      <c r="J77" t="str">
        <f>VLOOKUP($D77,Scopus!$A$2:$K$49,10,FALSE)</f>
        <v>Q2</v>
      </c>
      <c r="K77" t="str">
        <f>VLOOKUP($D77,Scopus!$A$2:$K$49,11,FALSE)</f>
        <v>0824-7935</v>
      </c>
      <c r="L77" t="e">
        <f t="shared" si="1"/>
        <v>#N/A</v>
      </c>
    </row>
    <row r="78" spans="1:12" ht="42" x14ac:dyDescent="0.15">
      <c r="A78" t="s">
        <v>740</v>
      </c>
      <c r="B78" t="s">
        <v>741</v>
      </c>
      <c r="C78">
        <v>2025</v>
      </c>
      <c r="D78" t="s">
        <v>742</v>
      </c>
      <c r="E78" t="s">
        <v>640</v>
      </c>
      <c r="F78" t="s">
        <v>17</v>
      </c>
      <c r="G78">
        <v>11</v>
      </c>
      <c r="H78" t="s">
        <v>743</v>
      </c>
      <c r="I78" t="str">
        <f>VLOOKUP($D78,Scopus!$A$2:$K$49,3,FALSE)</f>
        <v>93.0%
12/179
Computer Science (miscellaneous)</v>
      </c>
      <c r="J78" t="str">
        <f>VLOOKUP($D78,Scopus!$A$2:$K$49,10,FALSE)</f>
        <v>Q1</v>
      </c>
      <c r="K78" t="str">
        <f>VLOOKUP($D78,Scopus!$A$2:$K$49,11,FALSE)</f>
        <v>2667-3053</v>
      </c>
      <c r="L78" t="e">
        <f t="shared" si="1"/>
        <v>#N/A</v>
      </c>
    </row>
    <row r="79" spans="1:12" ht="42" x14ac:dyDescent="0.15">
      <c r="A79" t="s">
        <v>1158</v>
      </c>
      <c r="B79" t="s">
        <v>1159</v>
      </c>
      <c r="C79">
        <v>2025</v>
      </c>
      <c r="D79" t="s">
        <v>420</v>
      </c>
      <c r="E79" t="s">
        <v>1053</v>
      </c>
      <c r="F79" t="s">
        <v>75</v>
      </c>
      <c r="G79">
        <v>11</v>
      </c>
      <c r="H79" t="s">
        <v>1160</v>
      </c>
      <c r="I79" t="str">
        <f>VLOOKUP($D79,Scopus!$A$2:$K$49,3,FALSE)</f>
        <v>91.0%
19/206
Instrumentation</v>
      </c>
      <c r="J79" t="str">
        <f>VLOOKUP($D79,Scopus!$A$2:$K$49,10,FALSE)</f>
        <v>Q1</v>
      </c>
      <c r="K79" t="str">
        <f>VLOOKUP($D79,Scopus!$A$2:$K$49,11,FALSE)</f>
        <v>1424-8220</v>
      </c>
      <c r="L79" t="e">
        <f t="shared" si="1"/>
        <v>#N/A</v>
      </c>
    </row>
    <row r="80" spans="1:12" s="36" customFormat="1" ht="42" x14ac:dyDescent="0.15">
      <c r="A80" s="36" t="s">
        <v>735</v>
      </c>
      <c r="B80" s="36" t="s">
        <v>736</v>
      </c>
      <c r="C80" s="36">
        <v>2025</v>
      </c>
      <c r="D80" s="36" t="s">
        <v>737</v>
      </c>
      <c r="E80" s="36" t="s">
        <v>640</v>
      </c>
      <c r="F80" s="36" t="s">
        <v>75</v>
      </c>
      <c r="G80" s="36">
        <v>10</v>
      </c>
      <c r="H80" s="36" t="s">
        <v>738</v>
      </c>
      <c r="I80" t="e">
        <f>VLOOKUP($D80,Scopus!$A$2:$K$49,3,FALSE)</f>
        <v>#N/A</v>
      </c>
      <c r="J80" t="e">
        <f>VLOOKUP($D80,Scopus!$A$2:$K$49,10,FALSE)</f>
        <v>#N/A</v>
      </c>
      <c r="K80" t="e">
        <f>VLOOKUP($D80,Scopus!$A$2:$K$49,11,FALSE)</f>
        <v>#N/A</v>
      </c>
      <c r="L80" s="36" t="e">
        <f t="shared" si="1"/>
        <v>#N/A</v>
      </c>
    </row>
    <row r="81" spans="1:12" s="36" customFormat="1" ht="42" x14ac:dyDescent="0.15">
      <c r="A81" s="36" t="s">
        <v>1231</v>
      </c>
      <c r="B81" s="36" t="s">
        <v>1232</v>
      </c>
      <c r="C81" s="36">
        <v>2023</v>
      </c>
      <c r="D81" s="36" t="s">
        <v>1233</v>
      </c>
      <c r="E81" s="36" t="s">
        <v>1053</v>
      </c>
      <c r="F81" s="36" t="s">
        <v>32</v>
      </c>
      <c r="G81" s="36">
        <v>9</v>
      </c>
      <c r="H81" s="36" t="s">
        <v>1234</v>
      </c>
      <c r="I81" t="e">
        <f>VLOOKUP($D81,Scopus!$A$2:$K$49,3,FALSE)</f>
        <v>#N/A</v>
      </c>
      <c r="J81" t="e">
        <f>VLOOKUP($D81,Scopus!$A$2:$K$49,10,FALSE)</f>
        <v>#N/A</v>
      </c>
      <c r="K81" t="e">
        <f>VLOOKUP($D81,Scopus!$A$2:$K$49,11,FALSE)</f>
        <v>#N/A</v>
      </c>
      <c r="L81" s="36" t="e">
        <f t="shared" si="1"/>
        <v>#N/A</v>
      </c>
    </row>
    <row r="82" spans="1:12" ht="42" x14ac:dyDescent="0.15">
      <c r="A82" t="s">
        <v>292</v>
      </c>
      <c r="B82" t="s">
        <v>293</v>
      </c>
      <c r="C82">
        <v>2023</v>
      </c>
      <c r="D82" t="s">
        <v>294</v>
      </c>
      <c r="E82" t="s">
        <v>237</v>
      </c>
      <c r="F82" t="s">
        <v>75</v>
      </c>
      <c r="G82">
        <v>7</v>
      </c>
      <c r="H82" t="s">
        <v>295</v>
      </c>
      <c r="I82" t="str">
        <f>VLOOKUP($D82,Scopus!$A$2:$K$49,3,FALSE)</f>
        <v>76.0%
66/282
Safety, Risk, Reliability and Quality</v>
      </c>
      <c r="J82" t="str">
        <f>VLOOKUP($D82,Scopus!$A$2:$K$49,10,FALSE)</f>
        <v>Q2</v>
      </c>
      <c r="K82" t="str">
        <f>VLOOKUP($D82,Scopus!$A$2:$K$49,11,FALSE)</f>
        <v>0748-8017</v>
      </c>
      <c r="L82" t="e">
        <f t="shared" si="1"/>
        <v>#N/A</v>
      </c>
    </row>
    <row r="83" spans="1:12" ht="42" x14ac:dyDescent="0.15">
      <c r="A83" t="s">
        <v>1185</v>
      </c>
      <c r="B83" t="s">
        <v>1186</v>
      </c>
      <c r="C83">
        <v>2025</v>
      </c>
      <c r="D83" t="s">
        <v>1187</v>
      </c>
      <c r="E83" t="s">
        <v>1053</v>
      </c>
      <c r="F83" t="s">
        <v>32</v>
      </c>
      <c r="G83">
        <v>7</v>
      </c>
      <c r="H83" t="s">
        <v>1188</v>
      </c>
      <c r="I83" t="e">
        <f>VLOOKUP($D83,Scopus!$A$2:$K$49,3,FALSE)</f>
        <v>#N/A</v>
      </c>
      <c r="J83" t="e">
        <f>VLOOKUP($D83,Scopus!$A$2:$K$49,10,FALSE)</f>
        <v>#N/A</v>
      </c>
      <c r="K83" t="e">
        <f>VLOOKUP($D83,Scopus!$A$2:$K$49,11,FALSE)</f>
        <v>#N/A</v>
      </c>
      <c r="L83" t="e">
        <f t="shared" si="1"/>
        <v>#N/A</v>
      </c>
    </row>
    <row r="84" spans="1:12" ht="42" x14ac:dyDescent="0.15">
      <c r="A84" t="s">
        <v>167</v>
      </c>
      <c r="B84" t="s">
        <v>168</v>
      </c>
      <c r="C84">
        <v>2025</v>
      </c>
      <c r="D84" s="31" t="s">
        <v>1614</v>
      </c>
      <c r="E84" t="s">
        <v>155</v>
      </c>
      <c r="F84" t="s">
        <v>32</v>
      </c>
      <c r="G84">
        <v>6</v>
      </c>
      <c r="H84" t="s">
        <v>171</v>
      </c>
      <c r="I84" t="e">
        <f>VLOOKUP($D84,Scopus!$A$2:$K$49,3,FALSE)</f>
        <v>#N/A</v>
      </c>
      <c r="J84" t="e">
        <f>VLOOKUP($D84,Scopus!$A$2:$K$49,10,FALSE)</f>
        <v>#N/A</v>
      </c>
      <c r="K84" t="e">
        <f>VLOOKUP($D84,Scopus!$A$2:$K$49,11,FALSE)</f>
        <v>#N/A</v>
      </c>
      <c r="L84" t="e">
        <f t="shared" si="1"/>
        <v>#N/A</v>
      </c>
    </row>
    <row r="85" spans="1:12" s="36" customFormat="1" ht="42" x14ac:dyDescent="0.15">
      <c r="A85" s="36" t="s">
        <v>439</v>
      </c>
      <c r="B85" s="36" t="s">
        <v>440</v>
      </c>
      <c r="C85" s="36">
        <v>2022</v>
      </c>
      <c r="D85" s="36" t="s">
        <v>441</v>
      </c>
      <c r="E85" s="36" t="s">
        <v>321</v>
      </c>
      <c r="F85" s="36" t="s">
        <v>75</v>
      </c>
      <c r="G85" s="36">
        <v>6</v>
      </c>
      <c r="H85" s="36" t="s">
        <v>442</v>
      </c>
      <c r="I85" t="e">
        <f>VLOOKUP($D85,Scopus!$A$2:$K$49,3,FALSE)</f>
        <v>#N/A</v>
      </c>
      <c r="J85" t="e">
        <f>VLOOKUP($D85,Scopus!$A$2:$K$49,10,FALSE)</f>
        <v>#N/A</v>
      </c>
      <c r="K85" t="e">
        <f>VLOOKUP($D85,Scopus!$A$2:$K$49,11,FALSE)</f>
        <v>#N/A</v>
      </c>
      <c r="L85" s="36" t="e">
        <f t="shared" si="1"/>
        <v>#N/A</v>
      </c>
    </row>
    <row r="86" spans="1:12" ht="42" x14ac:dyDescent="0.15">
      <c r="A86" t="s">
        <v>1020</v>
      </c>
      <c r="B86" t="s">
        <v>1021</v>
      </c>
      <c r="C86">
        <v>2023</v>
      </c>
      <c r="D86" s="31" t="s">
        <v>1571</v>
      </c>
      <c r="E86" t="s">
        <v>957</v>
      </c>
      <c r="F86" t="s">
        <v>75</v>
      </c>
      <c r="G86">
        <v>6</v>
      </c>
      <c r="H86" t="s">
        <v>1023</v>
      </c>
      <c r="I86" t="str">
        <f>VLOOKUP($D86,Scopus!$A$2:$K$49,3,FALSE)</f>
        <v>47.0%
71/135
Theoretical Computer Science</v>
      </c>
      <c r="J86" t="str">
        <f>VLOOKUP($D86,Scopus!$A$2:$K$49,10,FALSE)</f>
        <v>Q3</v>
      </c>
      <c r="K86" t="str">
        <f>VLOOKUP($D86,Scopus!$A$2:$K$49,11,FALSE)</f>
        <v>0948-695X</v>
      </c>
      <c r="L86" t="e">
        <f t="shared" si="1"/>
        <v>#N/A</v>
      </c>
    </row>
    <row r="87" spans="1:12" ht="42" x14ac:dyDescent="0.15">
      <c r="A87" t="s">
        <v>986</v>
      </c>
      <c r="B87" t="s">
        <v>987</v>
      </c>
      <c r="C87">
        <v>2025</v>
      </c>
      <c r="D87" s="36" t="s">
        <v>988</v>
      </c>
      <c r="E87" t="s">
        <v>957</v>
      </c>
      <c r="F87" t="s">
        <v>75</v>
      </c>
      <c r="G87">
        <v>4</v>
      </c>
      <c r="H87" t="s">
        <v>989</v>
      </c>
      <c r="I87" t="e">
        <f>VLOOKUP($D87,Scopus!$A$2:$K$49,3,FALSE)</f>
        <v>#N/A</v>
      </c>
      <c r="J87" t="e">
        <f>VLOOKUP($D87,Scopus!$A$2:$K$49,10,FALSE)</f>
        <v>#N/A</v>
      </c>
      <c r="K87" t="e">
        <f>VLOOKUP($D87,Scopus!$A$2:$K$49,11,FALSE)</f>
        <v>#N/A</v>
      </c>
      <c r="L87" t="e">
        <f t="shared" si="1"/>
        <v>#N/A</v>
      </c>
    </row>
    <row r="88" spans="1:12" ht="42" x14ac:dyDescent="0.15">
      <c r="A88" t="s">
        <v>620</v>
      </c>
      <c r="B88" t="s">
        <v>621</v>
      </c>
      <c r="C88">
        <v>2022</v>
      </c>
      <c r="D88" s="36" t="s">
        <v>622</v>
      </c>
      <c r="E88" t="s">
        <v>599</v>
      </c>
      <c r="F88" t="s">
        <v>32</v>
      </c>
      <c r="G88">
        <v>3</v>
      </c>
      <c r="H88" t="s">
        <v>623</v>
      </c>
      <c r="I88" t="e">
        <f>VLOOKUP($D88,Scopus!$A$2:$K$49,3,FALSE)</f>
        <v>#N/A</v>
      </c>
      <c r="J88" t="e">
        <f>VLOOKUP($D88,Scopus!$A$2:$K$49,10,FALSE)</f>
        <v>#N/A</v>
      </c>
      <c r="K88" t="e">
        <f>VLOOKUP($D88,Scopus!$A$2:$K$49,11,FALSE)</f>
        <v>#N/A</v>
      </c>
      <c r="L88" t="e">
        <f t="shared" si="1"/>
        <v>#N/A</v>
      </c>
    </row>
    <row r="89" spans="1:12" ht="42" x14ac:dyDescent="0.15">
      <c r="A89" t="s">
        <v>657</v>
      </c>
      <c r="B89" t="s">
        <v>658</v>
      </c>
      <c r="C89">
        <v>2026</v>
      </c>
      <c r="D89" t="s">
        <v>659</v>
      </c>
      <c r="E89" t="s">
        <v>640</v>
      </c>
      <c r="F89" t="s">
        <v>75</v>
      </c>
      <c r="G89">
        <v>1</v>
      </c>
      <c r="H89" t="s">
        <v>661</v>
      </c>
      <c r="I89" t="str">
        <f>VLOOKUP($D89,Scopus!$A$2:$K$49,3,FALSE)</f>
        <v>97.0%
6/198
Control and Optimization</v>
      </c>
      <c r="J89" t="str">
        <f>VLOOKUP($D89,Scopus!$A$2:$K$49,10,FALSE)</f>
        <v>Q2</v>
      </c>
      <c r="K89" t="str">
        <f>VLOOKUP($D89,Scopus!$A$2:$K$49,11,FALSE)</f>
        <v>2224-2708</v>
      </c>
      <c r="L89" t="e">
        <f t="shared" si="1"/>
        <v>#N/A</v>
      </c>
    </row>
    <row r="90" spans="1:12" ht="42" x14ac:dyDescent="0.15">
      <c r="A90" t="s">
        <v>103</v>
      </c>
      <c r="B90" t="s">
        <v>104</v>
      </c>
      <c r="C90">
        <v>2026</v>
      </c>
      <c r="D90" t="s">
        <v>105</v>
      </c>
      <c r="E90" t="s">
        <v>91</v>
      </c>
      <c r="F90" t="s">
        <v>32</v>
      </c>
      <c r="H90" t="s">
        <v>106</v>
      </c>
      <c r="I90" t="e">
        <f>VLOOKUP($D90,Scopus!$A$2:$K$49,3,FALSE)</f>
        <v>#N/A</v>
      </c>
      <c r="J90" t="e">
        <f>VLOOKUP($D90,Scopus!$A$2:$K$49,10,FALSE)</f>
        <v>#N/A</v>
      </c>
      <c r="K90" t="e">
        <f>VLOOKUP($D90,Scopus!$A$2:$K$49,11,FALSE)</f>
        <v>#N/A</v>
      </c>
      <c r="L90" t="e">
        <f t="shared" si="1"/>
        <v>#N/A</v>
      </c>
    </row>
    <row r="91" spans="1:12" ht="42" x14ac:dyDescent="0.15">
      <c r="A91" t="s">
        <v>210</v>
      </c>
      <c r="B91" t="s">
        <v>211</v>
      </c>
      <c r="C91">
        <v>2021</v>
      </c>
      <c r="D91" t="s">
        <v>212</v>
      </c>
      <c r="E91" t="s">
        <v>155</v>
      </c>
      <c r="F91" t="s">
        <v>32</v>
      </c>
      <c r="H91" t="s">
        <v>213</v>
      </c>
      <c r="I91" t="e">
        <f>VLOOKUP($D91,Scopus!$A$2:$K$49,3,FALSE)</f>
        <v>#N/A</v>
      </c>
      <c r="J91" t="e">
        <f>VLOOKUP($D91,Scopus!$A$2:$K$49,10,FALSE)</f>
        <v>#N/A</v>
      </c>
      <c r="K91" t="e">
        <f>VLOOKUP($D91,Scopus!$A$2:$K$49,11,FALSE)</f>
        <v>#N/A</v>
      </c>
      <c r="L91" t="e">
        <f t="shared" si="1"/>
        <v>#N/A</v>
      </c>
    </row>
    <row r="92" spans="1:12" ht="42" x14ac:dyDescent="0.15">
      <c r="A92" t="s">
        <v>215</v>
      </c>
      <c r="B92" t="s">
        <v>216</v>
      </c>
      <c r="C92">
        <v>2020</v>
      </c>
      <c r="D92" s="31" t="s">
        <v>1559</v>
      </c>
      <c r="E92" t="s">
        <v>155</v>
      </c>
      <c r="F92" t="s">
        <v>75</v>
      </c>
      <c r="H92" t="s">
        <v>218</v>
      </c>
      <c r="I92" t="str">
        <f>VLOOKUP($D92,Scopus!$A$2:$K$49,3,FALSE)</f>
        <v>76.0%
137/570
Artificial Intelligence</v>
      </c>
      <c r="J92" t="str">
        <f>VLOOKUP($D92,Scopus!$A$2:$K$49,10,FALSE)</f>
        <v>Q2</v>
      </c>
      <c r="K92" t="str">
        <f>VLOOKUP($D92,Scopus!$A$2:$K$49,11,FALSE)</f>
        <v>1387-2532</v>
      </c>
      <c r="L92" t="e">
        <f t="shared" si="1"/>
        <v>#N/A</v>
      </c>
    </row>
    <row r="93" spans="1:12" ht="42" x14ac:dyDescent="0.15">
      <c r="A93" t="s">
        <v>341</v>
      </c>
      <c r="B93" t="s">
        <v>342</v>
      </c>
      <c r="C93">
        <v>2025</v>
      </c>
      <c r="D93" s="31" t="s">
        <v>1266</v>
      </c>
      <c r="E93" t="s">
        <v>321</v>
      </c>
      <c r="F93" t="s">
        <v>75</v>
      </c>
      <c r="H93" t="s">
        <v>344</v>
      </c>
      <c r="I93" t="str">
        <f>VLOOKUP($D93,Scopus!$A$2:$K$49,3,FALSE)</f>
        <v xml:space="preserve">87.0%
29/223
</v>
      </c>
      <c r="J93" t="str">
        <f>VLOOKUP($D93,Scopus!$A$2:$K$49,10,FALSE)</f>
        <v>Q1</v>
      </c>
      <c r="K93" t="str">
        <f>VLOOKUP($D93,Scopus!$A$2:$K$49,11,FALSE)</f>
        <v>2045-2322</v>
      </c>
      <c r="L93" t="e">
        <f t="shared" si="1"/>
        <v>#N/A</v>
      </c>
    </row>
    <row r="94" spans="1:12" ht="42" x14ac:dyDescent="0.15">
      <c r="A94" t="s">
        <v>940</v>
      </c>
      <c r="B94" t="s">
        <v>941</v>
      </c>
      <c r="C94">
        <v>2023</v>
      </c>
      <c r="D94" s="31" t="s">
        <v>1535</v>
      </c>
      <c r="E94" t="s">
        <v>640</v>
      </c>
      <c r="F94" t="s">
        <v>32</v>
      </c>
      <c r="H94" t="s">
        <v>943</v>
      </c>
      <c r="I94" t="str">
        <f>VLOOKUP($D94,Scopus!$A$2:$K$49,3,FALSE)</f>
        <v>92.0%
36/503
Software</v>
      </c>
      <c r="J94" t="str">
        <f>VLOOKUP($D94,Scopus!$A$2:$K$49,10,FALSE)</f>
        <v>Q1</v>
      </c>
      <c r="K94" t="str">
        <f>VLOOKUP($D94,Scopus!$A$2:$K$49,11,FALSE)</f>
        <v>0098-5589</v>
      </c>
      <c r="L94" t="e">
        <f t="shared" si="1"/>
        <v>#N/A</v>
      </c>
    </row>
  </sheetData>
  <sortState xmlns:xlrd2="http://schemas.microsoft.com/office/spreadsheetml/2017/richdata2" ref="A2:K94">
    <sortCondition ref="K2:K9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33FDE-3AB4-3A4A-84DF-E4FAB20B50EC}">
  <dimension ref="A1:AE95"/>
  <sheetViews>
    <sheetView tabSelected="1" topLeftCell="A44" workbookViewId="0">
      <selection activeCell="K51" sqref="K51"/>
    </sheetView>
  </sheetViews>
  <sheetFormatPr baseColWidth="10" defaultColWidth="8.83203125" defaultRowHeight="13" x14ac:dyDescent="0.15"/>
  <cols>
    <col min="1" max="1" width="46.5" style="35" bestFit="1" customWidth="1"/>
    <col min="2" max="2" width="12.83203125" style="35" customWidth="1"/>
    <col min="3" max="3" width="32.83203125" style="35" bestFit="1" customWidth="1"/>
    <col min="4" max="4" width="14.5" style="35" bestFit="1" customWidth="1"/>
    <col min="5" max="5" width="16.83203125" style="35" bestFit="1" customWidth="1"/>
    <col min="6" max="8" width="8.83203125" style="35"/>
    <col min="9" max="9" width="38.6640625" style="35" bestFit="1" customWidth="1"/>
    <col min="10" max="10" width="13" style="35" customWidth="1"/>
    <col min="11" max="11" width="16.33203125" style="35" customWidth="1"/>
    <col min="12" max="15" width="8.83203125" style="35"/>
    <col min="16" max="16" width="46.5" style="35" bestFit="1" customWidth="1"/>
    <col min="17" max="22" width="8.83203125" style="35"/>
    <col min="23" max="23" width="21.6640625" style="35" customWidth="1"/>
    <col min="24" max="26" width="8.83203125" style="35"/>
    <col min="27" max="27" width="17.6640625" style="35" customWidth="1"/>
    <col min="28" max="28" width="62.33203125" style="35" customWidth="1"/>
    <col min="29" max="29" width="15" style="35" bestFit="1" customWidth="1"/>
    <col min="30" max="30" width="17.6640625" style="35" customWidth="1"/>
    <col min="31" max="31" width="48.6640625" style="35" customWidth="1"/>
    <col min="32" max="16384" width="8.83203125" style="35"/>
  </cols>
  <sheetData>
    <row r="1" spans="1:31" ht="14" x14ac:dyDescent="0.15">
      <c r="A1" s="34" t="s">
        <v>1500</v>
      </c>
      <c r="B1" s="34" t="s">
        <v>1526</v>
      </c>
      <c r="P1" s="34"/>
    </row>
    <row r="2" spans="1:31" ht="28" x14ac:dyDescent="0.15">
      <c r="A2" s="39" t="s">
        <v>1501</v>
      </c>
      <c r="B2" s="39" t="s">
        <v>1502</v>
      </c>
      <c r="C2" s="39" t="s">
        <v>1503</v>
      </c>
      <c r="D2" s="39" t="s">
        <v>1504</v>
      </c>
      <c r="E2" s="39" t="s">
        <v>1505</v>
      </c>
      <c r="F2" s="39" t="s">
        <v>1506</v>
      </c>
      <c r="G2" s="39" t="s">
        <v>1507</v>
      </c>
      <c r="H2" s="39" t="s">
        <v>1508</v>
      </c>
      <c r="I2" s="39" t="s">
        <v>1509</v>
      </c>
      <c r="J2" s="40" t="s">
        <v>1399</v>
      </c>
      <c r="K2" s="40" t="s">
        <v>1400</v>
      </c>
      <c r="P2" s="37" t="s">
        <v>1395</v>
      </c>
      <c r="Q2" t="s">
        <v>5</v>
      </c>
      <c r="R2" t="s">
        <v>6</v>
      </c>
      <c r="S2" t="s">
        <v>7</v>
      </c>
      <c r="T2" t="s">
        <v>8</v>
      </c>
      <c r="U2" t="s">
        <v>1398</v>
      </c>
      <c r="V2" t="s">
        <v>1399</v>
      </c>
      <c r="W2" t="s">
        <v>1400</v>
      </c>
      <c r="AA2" s="31"/>
      <c r="AB2" s="31" t="s">
        <v>1395</v>
      </c>
      <c r="AC2" s="31" t="s">
        <v>1508</v>
      </c>
      <c r="AD2" s="31" t="s">
        <v>1608</v>
      </c>
      <c r="AE2" s="31" t="s">
        <v>1609</v>
      </c>
    </row>
    <row r="3" spans="1:31" ht="56" x14ac:dyDescent="0.15">
      <c r="A3" s="37" t="s">
        <v>1527</v>
      </c>
      <c r="B3" s="37">
        <v>98.7</v>
      </c>
      <c r="C3" s="38" t="s">
        <v>1528</v>
      </c>
      <c r="D3" s="37">
        <v>33254</v>
      </c>
      <c r="E3" s="37">
        <v>337</v>
      </c>
      <c r="F3" s="37">
        <v>99</v>
      </c>
      <c r="G3" s="37">
        <v>14.933</v>
      </c>
      <c r="H3" s="37">
        <v>14.837999999999999</v>
      </c>
      <c r="I3" s="37" t="s">
        <v>1515</v>
      </c>
      <c r="J3" s="35" t="s">
        <v>1409</v>
      </c>
      <c r="K3" s="35" t="s">
        <v>1597</v>
      </c>
      <c r="P3" s="37" t="s">
        <v>1178</v>
      </c>
      <c r="Q3" t="s">
        <v>1053</v>
      </c>
      <c r="R3" t="s">
        <v>32</v>
      </c>
      <c r="S3">
        <v>51</v>
      </c>
      <c r="T3" t="s">
        <v>1180</v>
      </c>
      <c r="U3">
        <v>0.97</v>
      </c>
      <c r="V3" t="s">
        <v>1409</v>
      </c>
      <c r="W3" t="s">
        <v>1440</v>
      </c>
      <c r="X3" s="35">
        <f>VLOOKUP(P3,A2:$K$45,2,FALSE)</f>
        <v>12.7</v>
      </c>
      <c r="AA3"/>
      <c r="AB3" s="31" t="s">
        <v>1535</v>
      </c>
      <c r="AC3" s="31" t="s">
        <v>1409</v>
      </c>
      <c r="AD3" t="s">
        <v>1574</v>
      </c>
      <c r="AE3" t="str">
        <f>CONCATENATE("https://www.scimagojr.com/journalsearch.php?q=",AD3)</f>
        <v>https://www.scimagojr.com/journalsearch.php?q=0098-5589</v>
      </c>
    </row>
    <row r="4" spans="1:31" ht="48" x14ac:dyDescent="0.15">
      <c r="A4" s="37" t="s">
        <v>383</v>
      </c>
      <c r="B4" s="37">
        <v>65.2</v>
      </c>
      <c r="C4" s="38" t="s">
        <v>1510</v>
      </c>
      <c r="D4" s="37">
        <v>90231</v>
      </c>
      <c r="E4" s="37">
        <v>1383</v>
      </c>
      <c r="F4" s="37">
        <v>92</v>
      </c>
      <c r="G4" s="37">
        <v>11.121</v>
      </c>
      <c r="H4" s="37">
        <v>5.9850000000000003</v>
      </c>
      <c r="I4" s="37" t="s">
        <v>1511</v>
      </c>
      <c r="J4" s="35" t="s">
        <v>1409</v>
      </c>
      <c r="K4" s="35" t="s">
        <v>1424</v>
      </c>
      <c r="P4" s="37" t="s">
        <v>383</v>
      </c>
      <c r="Q4" t="s">
        <v>321</v>
      </c>
      <c r="R4" t="s">
        <v>17</v>
      </c>
      <c r="S4">
        <v>506</v>
      </c>
      <c r="T4" t="s">
        <v>385</v>
      </c>
      <c r="U4">
        <v>0.99</v>
      </c>
      <c r="V4" t="s">
        <v>1409</v>
      </c>
      <c r="W4" t="s">
        <v>1424</v>
      </c>
      <c r="X4" s="35">
        <f>VLOOKUP(P4,A3:$K$45,2,FALSE)</f>
        <v>65.2</v>
      </c>
      <c r="AA4"/>
      <c r="AB4" s="31" t="s">
        <v>1266</v>
      </c>
      <c r="AC4" s="31" t="s">
        <v>1409</v>
      </c>
      <c r="AD4" t="s">
        <v>1464</v>
      </c>
      <c r="AE4" t="str">
        <f t="shared" ref="AE4:AE51" si="0">CONCATENATE("https://www.scimagojr.com/journalsearch.php?q=",AD4)</f>
        <v>https://www.scimagojr.com/journalsearch.php?q=2045-2322</v>
      </c>
    </row>
    <row r="5" spans="1:31" ht="56" x14ac:dyDescent="0.15">
      <c r="A5" s="37" t="s">
        <v>1172</v>
      </c>
      <c r="B5" s="37">
        <v>36.1</v>
      </c>
      <c r="C5" s="38" t="s">
        <v>1529</v>
      </c>
      <c r="D5" s="37">
        <v>48984</v>
      </c>
      <c r="E5" s="37">
        <v>1358</v>
      </c>
      <c r="F5" s="37">
        <v>94</v>
      </c>
      <c r="G5" s="37">
        <v>6.1909999999999998</v>
      </c>
      <c r="H5" s="37">
        <v>3.6379999999999999</v>
      </c>
      <c r="I5" s="37" t="s">
        <v>1530</v>
      </c>
      <c r="J5" s="35" t="s">
        <v>1409</v>
      </c>
      <c r="K5" s="35" t="s">
        <v>1587</v>
      </c>
      <c r="P5" s="37" t="s">
        <v>50</v>
      </c>
      <c r="Q5" t="s">
        <v>16</v>
      </c>
      <c r="R5" t="s">
        <v>32</v>
      </c>
      <c r="S5">
        <v>59</v>
      </c>
      <c r="T5" t="s">
        <v>52</v>
      </c>
      <c r="U5">
        <v>0.97</v>
      </c>
      <c r="V5" t="s">
        <v>1409</v>
      </c>
      <c r="W5" t="s">
        <v>1462</v>
      </c>
      <c r="X5" s="35">
        <f>VLOOKUP(P5,A4:$K$45,2,FALSE)</f>
        <v>17</v>
      </c>
      <c r="AA5"/>
      <c r="AB5" s="31" t="s">
        <v>1559</v>
      </c>
      <c r="AC5" s="31" t="s">
        <v>1417</v>
      </c>
      <c r="AD5" t="s">
        <v>1575</v>
      </c>
      <c r="AE5" t="str">
        <f t="shared" si="0"/>
        <v>https://www.scimagojr.com/journalsearch.php?q=1387-2532</v>
      </c>
    </row>
    <row r="6" spans="1:31" ht="48" x14ac:dyDescent="0.15">
      <c r="A6" s="37" t="s">
        <v>39</v>
      </c>
      <c r="B6" s="37">
        <v>26.7</v>
      </c>
      <c r="C6" s="38" t="s">
        <v>1512</v>
      </c>
      <c r="D6" s="37">
        <v>43665</v>
      </c>
      <c r="E6" s="37">
        <v>1635</v>
      </c>
      <c r="F6" s="37">
        <v>93</v>
      </c>
      <c r="G6" s="37">
        <v>4.5170000000000003</v>
      </c>
      <c r="H6" s="37">
        <v>4.1970000000000001</v>
      </c>
      <c r="I6" s="37" t="s">
        <v>1513</v>
      </c>
      <c r="J6" s="35" t="s">
        <v>1409</v>
      </c>
      <c r="K6" s="35" t="s">
        <v>1430</v>
      </c>
      <c r="P6" s="37" t="s">
        <v>56</v>
      </c>
      <c r="Q6" t="s">
        <v>16</v>
      </c>
      <c r="R6" t="s">
        <v>32</v>
      </c>
      <c r="S6">
        <v>177</v>
      </c>
      <c r="T6" t="s">
        <v>58</v>
      </c>
      <c r="U6">
        <v>0.82</v>
      </c>
      <c r="V6" t="s">
        <v>1409</v>
      </c>
      <c r="W6" t="s">
        <v>1422</v>
      </c>
      <c r="X6" s="35">
        <f>VLOOKUP(P6,A5:$K$45,2,FALSE)</f>
        <v>11.6</v>
      </c>
      <c r="AA6"/>
      <c r="AB6" s="31" t="s">
        <v>1553</v>
      </c>
      <c r="AC6" s="31" t="s">
        <v>1409</v>
      </c>
      <c r="AD6" t="s">
        <v>1576</v>
      </c>
      <c r="AE6" t="str">
        <f t="shared" si="0"/>
        <v>https://www.scimagojr.com/journalsearch.php?q=2644-1330</v>
      </c>
    </row>
    <row r="7" spans="1:31" ht="56" x14ac:dyDescent="0.15">
      <c r="A7" s="37" t="s">
        <v>228</v>
      </c>
      <c r="B7" s="37">
        <v>22.4</v>
      </c>
      <c r="C7" s="38" t="s">
        <v>1514</v>
      </c>
      <c r="D7" s="37">
        <v>90744</v>
      </c>
      <c r="E7" s="37">
        <v>4055</v>
      </c>
      <c r="F7" s="37">
        <v>91</v>
      </c>
      <c r="G7" s="37">
        <v>2.6070000000000002</v>
      </c>
      <c r="H7" s="37">
        <v>2.9830000000000001</v>
      </c>
      <c r="I7" s="37" t="s">
        <v>1515</v>
      </c>
      <c r="J7" s="35" t="s">
        <v>1409</v>
      </c>
      <c r="K7" s="35" t="s">
        <v>1499</v>
      </c>
      <c r="P7" s="37" t="s">
        <v>39</v>
      </c>
      <c r="Q7" t="s">
        <v>16</v>
      </c>
      <c r="R7" t="s">
        <v>17</v>
      </c>
      <c r="S7">
        <v>169</v>
      </c>
      <c r="T7" t="s">
        <v>41</v>
      </c>
      <c r="U7">
        <v>0.99</v>
      </c>
      <c r="V7" t="s">
        <v>1409</v>
      </c>
      <c r="W7" t="s">
        <v>1430</v>
      </c>
      <c r="X7" s="35">
        <f>VLOOKUP(P7,A6:$K$45,2,FALSE)</f>
        <v>26.7</v>
      </c>
      <c r="AA7"/>
      <c r="AB7" s="31" t="s">
        <v>659</v>
      </c>
      <c r="AC7" s="31" t="s">
        <v>1417</v>
      </c>
      <c r="AD7" t="s">
        <v>1577</v>
      </c>
      <c r="AE7" t="str">
        <f t="shared" si="0"/>
        <v>https://www.scimagojr.com/journalsearch.php?q=2224-2708</v>
      </c>
    </row>
    <row r="8" spans="1:31" ht="48" x14ac:dyDescent="0.15">
      <c r="A8" s="37" t="s">
        <v>203</v>
      </c>
      <c r="B8" s="37">
        <v>20.5</v>
      </c>
      <c r="C8" s="38" t="s">
        <v>1531</v>
      </c>
      <c r="D8" s="37">
        <v>129839</v>
      </c>
      <c r="E8" s="37">
        <v>6346</v>
      </c>
      <c r="F8" s="37">
        <v>88</v>
      </c>
      <c r="G8" s="37">
        <v>2.758</v>
      </c>
      <c r="H8" s="37">
        <v>2.6080000000000001</v>
      </c>
      <c r="I8" s="37" t="s">
        <v>1515</v>
      </c>
      <c r="J8" s="35" t="s">
        <v>1409</v>
      </c>
      <c r="K8" s="35" t="s">
        <v>1588</v>
      </c>
      <c r="P8" s="37" t="s">
        <v>549</v>
      </c>
      <c r="Q8" t="s">
        <v>321</v>
      </c>
      <c r="R8" t="s">
        <v>32</v>
      </c>
      <c r="S8">
        <v>217</v>
      </c>
      <c r="T8" t="s">
        <v>551</v>
      </c>
      <c r="U8">
        <v>0.9</v>
      </c>
      <c r="V8" t="s">
        <v>1409</v>
      </c>
      <c r="W8" t="s">
        <v>1460</v>
      </c>
      <c r="X8" s="35">
        <f>VLOOKUP(P8,A7:$K$45,2,FALSE)</f>
        <v>12.9</v>
      </c>
      <c r="AA8"/>
      <c r="AB8" s="31" t="s">
        <v>1571</v>
      </c>
      <c r="AC8" s="31" t="s">
        <v>1606</v>
      </c>
      <c r="AD8" t="s">
        <v>1578</v>
      </c>
      <c r="AE8" t="str">
        <f t="shared" si="0"/>
        <v>https://www.scimagojr.com/journalsearch.php?q=0948-695X</v>
      </c>
    </row>
    <row r="9" spans="1:31" ht="48" x14ac:dyDescent="0.15">
      <c r="A9" s="37" t="s">
        <v>467</v>
      </c>
      <c r="B9" s="37">
        <v>18.5</v>
      </c>
      <c r="C9" s="38" t="s">
        <v>1532</v>
      </c>
      <c r="D9" s="37">
        <v>14942</v>
      </c>
      <c r="E9" s="37">
        <v>808</v>
      </c>
      <c r="F9" s="37">
        <v>96</v>
      </c>
      <c r="G9" s="37">
        <v>2.7709999999999999</v>
      </c>
      <c r="H9" s="37">
        <v>1.8879999999999999</v>
      </c>
      <c r="I9" s="37" t="s">
        <v>1530</v>
      </c>
      <c r="J9" s="35" t="s">
        <v>1409</v>
      </c>
      <c r="K9" s="35" t="s">
        <v>1601</v>
      </c>
      <c r="P9" s="37" t="s">
        <v>549</v>
      </c>
      <c r="Q9" t="s">
        <v>640</v>
      </c>
      <c r="R9" t="s">
        <v>32</v>
      </c>
      <c r="S9">
        <v>7</v>
      </c>
      <c r="T9" t="s">
        <v>798</v>
      </c>
      <c r="U9">
        <v>0.9</v>
      </c>
      <c r="V9" t="s">
        <v>1409</v>
      </c>
      <c r="W9" t="s">
        <v>1460</v>
      </c>
      <c r="X9" s="35">
        <f>VLOOKUP(P9,A8:$K$45,2,FALSE)</f>
        <v>12.9</v>
      </c>
      <c r="AA9"/>
      <c r="AB9" s="31" t="s">
        <v>441</v>
      </c>
      <c r="AC9" s="31" t="s">
        <v>1607</v>
      </c>
      <c r="AD9" t="s">
        <v>1579</v>
      </c>
      <c r="AE9" t="str">
        <f t="shared" si="0"/>
        <v>https://www.scimagojr.com/journalsearch.php?q=1687-5265</v>
      </c>
    </row>
    <row r="10" spans="1:31" ht="48" x14ac:dyDescent="0.15">
      <c r="A10" s="37" t="s">
        <v>377</v>
      </c>
      <c r="B10" s="37">
        <v>17.8</v>
      </c>
      <c r="C10" s="38" t="s">
        <v>1533</v>
      </c>
      <c r="D10" s="37">
        <v>4087</v>
      </c>
      <c r="E10" s="37">
        <v>229</v>
      </c>
      <c r="F10" s="37">
        <v>77</v>
      </c>
      <c r="G10" s="37">
        <v>3.0720000000000001</v>
      </c>
      <c r="H10" s="37">
        <v>1.8939999999999999</v>
      </c>
      <c r="I10" s="37" t="s">
        <v>1534</v>
      </c>
      <c r="J10" s="35" t="s">
        <v>1409</v>
      </c>
      <c r="K10" s="35" t="s">
        <v>1604</v>
      </c>
      <c r="P10" s="37" t="s">
        <v>549</v>
      </c>
      <c r="Q10" t="s">
        <v>957</v>
      </c>
      <c r="R10" t="s">
        <v>32</v>
      </c>
      <c r="S10">
        <v>0</v>
      </c>
      <c r="T10" t="s">
        <v>1005</v>
      </c>
      <c r="U10">
        <v>0.9</v>
      </c>
      <c r="V10" t="s">
        <v>1409</v>
      </c>
      <c r="W10" t="s">
        <v>1460</v>
      </c>
      <c r="X10" s="35">
        <f>VLOOKUP(P10,A9:$K$45,2,FALSE)</f>
        <v>12.9</v>
      </c>
      <c r="AA10"/>
      <c r="AB10" s="31" t="s">
        <v>1556</v>
      </c>
      <c r="AC10" s="31" t="s">
        <v>1409</v>
      </c>
      <c r="AD10" t="s">
        <v>1580</v>
      </c>
      <c r="AE10" t="str">
        <f t="shared" si="0"/>
        <v>https://www.scimagojr.com/journalsearch.php?q=1435-5558</v>
      </c>
    </row>
    <row r="11" spans="1:31" ht="48" x14ac:dyDescent="0.15">
      <c r="A11" s="37" t="s">
        <v>50</v>
      </c>
      <c r="B11" s="37">
        <v>17</v>
      </c>
      <c r="C11" s="38" t="s">
        <v>1516</v>
      </c>
      <c r="D11" s="37">
        <v>190824</v>
      </c>
      <c r="E11" s="37">
        <v>11200</v>
      </c>
      <c r="F11" s="37">
        <v>91</v>
      </c>
      <c r="G11" s="37">
        <v>2.4209999999999998</v>
      </c>
      <c r="H11" s="37">
        <v>1.9390000000000001</v>
      </c>
      <c r="I11" s="37" t="s">
        <v>1513</v>
      </c>
      <c r="J11" s="35" t="s">
        <v>1409</v>
      </c>
      <c r="K11" s="35" t="s">
        <v>1462</v>
      </c>
      <c r="P11" s="37" t="s">
        <v>1192</v>
      </c>
      <c r="Q11" t="s">
        <v>1053</v>
      </c>
      <c r="R11" t="s">
        <v>32</v>
      </c>
      <c r="S11">
        <v>44</v>
      </c>
      <c r="T11" t="s">
        <v>1194</v>
      </c>
      <c r="U11">
        <v>0.78</v>
      </c>
      <c r="V11" t="s">
        <v>1417</v>
      </c>
      <c r="W11" t="s">
        <v>1418</v>
      </c>
      <c r="X11" s="35">
        <f>VLOOKUP(P11,A10:$K$45,2,FALSE)</f>
        <v>5.4</v>
      </c>
      <c r="AA11"/>
      <c r="AB11" s="31" t="s">
        <v>294</v>
      </c>
      <c r="AC11" s="31" t="s">
        <v>1417</v>
      </c>
      <c r="AD11" t="s">
        <v>1581</v>
      </c>
      <c r="AE11" t="str">
        <f t="shared" si="0"/>
        <v>https://www.scimagojr.com/journalsearch.php?q=0748-8017</v>
      </c>
    </row>
    <row r="12" spans="1:31" ht="48" x14ac:dyDescent="0.15">
      <c r="A12" s="37" t="s">
        <v>1535</v>
      </c>
      <c r="B12" s="37">
        <v>13.9</v>
      </c>
      <c r="C12" s="38" t="s">
        <v>1536</v>
      </c>
      <c r="D12" s="37">
        <v>13396</v>
      </c>
      <c r="E12" s="37">
        <v>966</v>
      </c>
      <c r="F12" s="37">
        <v>84</v>
      </c>
      <c r="G12" s="37">
        <v>2.4119999999999999</v>
      </c>
      <c r="H12" s="37">
        <v>1.5680000000000001</v>
      </c>
      <c r="I12" s="37" t="s">
        <v>1515</v>
      </c>
      <c r="J12" s="35" t="s">
        <v>1409</v>
      </c>
      <c r="K12" s="35" t="s">
        <v>1574</v>
      </c>
      <c r="P12" s="37" t="s">
        <v>1198</v>
      </c>
      <c r="Q12" t="s">
        <v>1053</v>
      </c>
      <c r="R12" t="s">
        <v>32</v>
      </c>
      <c r="S12">
        <v>126</v>
      </c>
      <c r="T12" t="s">
        <v>1200</v>
      </c>
      <c r="U12">
        <v>0.84</v>
      </c>
      <c r="V12" t="s">
        <v>1409</v>
      </c>
      <c r="W12" t="s">
        <v>1443</v>
      </c>
      <c r="X12" s="35">
        <f>VLOOKUP(P12,A11:$K$45,2,FALSE)</f>
        <v>10</v>
      </c>
      <c r="AA12"/>
      <c r="AB12" s="31" t="s">
        <v>737</v>
      </c>
      <c r="AC12" s="31" t="s">
        <v>1607</v>
      </c>
      <c r="AD12" t="s">
        <v>1582</v>
      </c>
      <c r="AE12" t="str">
        <f t="shared" si="0"/>
        <v>https://www.scimagojr.com/journalsearch.php?q=2576-0017</v>
      </c>
    </row>
    <row r="13" spans="1:31" ht="56" x14ac:dyDescent="0.15">
      <c r="A13" s="37" t="s">
        <v>1537</v>
      </c>
      <c r="B13" s="37">
        <v>13.5</v>
      </c>
      <c r="C13" s="38" t="s">
        <v>1538</v>
      </c>
      <c r="D13" s="37">
        <v>42857</v>
      </c>
      <c r="E13" s="37">
        <v>3171</v>
      </c>
      <c r="F13" s="37">
        <v>88</v>
      </c>
      <c r="G13" s="37">
        <v>1.788</v>
      </c>
      <c r="H13" s="37">
        <v>1.5880000000000001</v>
      </c>
      <c r="I13" s="37" t="s">
        <v>1513</v>
      </c>
      <c r="J13" s="35" t="s">
        <v>1409</v>
      </c>
      <c r="K13" s="35" t="s">
        <v>1595</v>
      </c>
      <c r="P13" s="37" t="s">
        <v>831</v>
      </c>
      <c r="Q13" t="s">
        <v>640</v>
      </c>
      <c r="R13" t="s">
        <v>32</v>
      </c>
      <c r="S13">
        <v>21</v>
      </c>
      <c r="T13" t="s">
        <v>833</v>
      </c>
      <c r="U13">
        <v>0.77</v>
      </c>
      <c r="V13" t="s">
        <v>1409</v>
      </c>
      <c r="W13" t="s">
        <v>1410</v>
      </c>
      <c r="X13" s="35">
        <f>VLOOKUP(P13,A12:$K$45,2,FALSE)</f>
        <v>2.9</v>
      </c>
      <c r="AA13"/>
      <c r="AB13" s="31" t="s">
        <v>742</v>
      </c>
      <c r="AC13" s="31" t="s">
        <v>1409</v>
      </c>
      <c r="AD13" t="s">
        <v>1474</v>
      </c>
      <c r="AE13" t="str">
        <f t="shared" si="0"/>
        <v>https://www.scimagojr.com/journalsearch.php?q=2667-3053</v>
      </c>
    </row>
    <row r="14" spans="1:31" ht="56" x14ac:dyDescent="0.15">
      <c r="A14" s="37" t="s">
        <v>742</v>
      </c>
      <c r="B14" s="37">
        <v>13.1</v>
      </c>
      <c r="C14" s="38" t="s">
        <v>1539</v>
      </c>
      <c r="D14" s="37">
        <v>6884</v>
      </c>
      <c r="E14" s="37">
        <v>526</v>
      </c>
      <c r="F14" s="37">
        <v>85</v>
      </c>
      <c r="G14" s="37">
        <v>1.8620000000000001</v>
      </c>
      <c r="H14" s="37">
        <v>1.1419999999999999</v>
      </c>
      <c r="I14" s="37" t="s">
        <v>1513</v>
      </c>
      <c r="J14" s="35" t="s">
        <v>1409</v>
      </c>
      <c r="K14" s="35" t="s">
        <v>1474</v>
      </c>
      <c r="P14" s="37" t="s">
        <v>831</v>
      </c>
      <c r="Q14" t="s">
        <v>1053</v>
      </c>
      <c r="R14" t="s">
        <v>17</v>
      </c>
      <c r="S14">
        <v>13</v>
      </c>
      <c r="T14" t="s">
        <v>1129</v>
      </c>
      <c r="U14">
        <v>0.77</v>
      </c>
      <c r="V14" t="s">
        <v>1409</v>
      </c>
      <c r="W14" t="s">
        <v>1410</v>
      </c>
      <c r="X14" s="35">
        <f>VLOOKUP(P14,A13:$K$45,2,FALSE)</f>
        <v>2.9</v>
      </c>
      <c r="AA14"/>
      <c r="AB14" s="31" t="s">
        <v>789</v>
      </c>
      <c r="AC14" s="31" t="s">
        <v>1607</v>
      </c>
      <c r="AD14" t="s">
        <v>1583</v>
      </c>
      <c r="AE14" t="str">
        <f t="shared" si="0"/>
        <v>https://www.scimagojr.com/journalsearch.php?q=1521-1398</v>
      </c>
    </row>
    <row r="15" spans="1:31" ht="56" x14ac:dyDescent="0.15">
      <c r="A15" s="37" t="s">
        <v>532</v>
      </c>
      <c r="B15" s="37">
        <v>13</v>
      </c>
      <c r="C15" s="38" t="s">
        <v>1540</v>
      </c>
      <c r="D15" s="37">
        <v>20177</v>
      </c>
      <c r="E15" s="37">
        <v>1556</v>
      </c>
      <c r="F15" s="37">
        <v>84</v>
      </c>
      <c r="G15" s="37">
        <v>2.3140000000000001</v>
      </c>
      <c r="H15" s="37">
        <v>1.758</v>
      </c>
      <c r="I15" s="37" t="s">
        <v>1515</v>
      </c>
      <c r="J15" s="35" t="s">
        <v>1409</v>
      </c>
      <c r="K15" s="35" t="s">
        <v>1593</v>
      </c>
      <c r="P15" s="37" t="s">
        <v>268</v>
      </c>
      <c r="Q15" t="s">
        <v>640</v>
      </c>
      <c r="R15" t="s">
        <v>75</v>
      </c>
      <c r="S15">
        <v>24</v>
      </c>
      <c r="T15" t="s">
        <v>760</v>
      </c>
      <c r="U15">
        <v>0.76</v>
      </c>
      <c r="V15" t="s">
        <v>1417</v>
      </c>
      <c r="W15" t="s">
        <v>1479</v>
      </c>
      <c r="X15" s="35" t="e">
        <f>VLOOKUP(P15,A14:$K$45,2,FALSE)</f>
        <v>#N/A</v>
      </c>
      <c r="AA15"/>
      <c r="AB15" s="31" t="s">
        <v>414</v>
      </c>
      <c r="AC15" s="31" t="s">
        <v>1417</v>
      </c>
      <c r="AD15" t="s">
        <v>1584</v>
      </c>
      <c r="AE15" t="str">
        <f t="shared" si="0"/>
        <v>https://www.scimagojr.com/journalsearch.php?q=0824-7935</v>
      </c>
    </row>
    <row r="16" spans="1:31" ht="56" x14ac:dyDescent="0.15">
      <c r="A16" s="37" t="s">
        <v>549</v>
      </c>
      <c r="B16" s="37">
        <v>12.9</v>
      </c>
      <c r="C16" s="38" t="s">
        <v>1517</v>
      </c>
      <c r="D16" s="37">
        <v>16034</v>
      </c>
      <c r="E16" s="37">
        <v>1240</v>
      </c>
      <c r="F16" s="37">
        <v>84</v>
      </c>
      <c r="G16" s="37">
        <v>1.7410000000000001</v>
      </c>
      <c r="H16" s="37">
        <v>1.597</v>
      </c>
      <c r="I16" s="37" t="s">
        <v>1515</v>
      </c>
      <c r="J16" s="35" t="s">
        <v>1409</v>
      </c>
      <c r="K16" s="35" t="s">
        <v>1460</v>
      </c>
      <c r="P16" s="37" t="s">
        <v>268</v>
      </c>
      <c r="Q16" t="s">
        <v>237</v>
      </c>
      <c r="R16" t="s">
        <v>32</v>
      </c>
      <c r="S16">
        <v>0</v>
      </c>
      <c r="T16" t="s">
        <v>269</v>
      </c>
      <c r="U16">
        <v>0.76</v>
      </c>
      <c r="V16" t="s">
        <v>1417</v>
      </c>
      <c r="W16" t="s">
        <v>1479</v>
      </c>
      <c r="X16" s="35" t="e">
        <f>VLOOKUP(P16,A15:$K$45,2,FALSE)</f>
        <v>#N/A</v>
      </c>
      <c r="AA16"/>
      <c r="AB16" s="31" t="s">
        <v>606</v>
      </c>
      <c r="AC16" s="31" t="s">
        <v>1417</v>
      </c>
      <c r="AD16" t="s">
        <v>1585</v>
      </c>
      <c r="AE16" t="str">
        <f t="shared" si="0"/>
        <v>https://www.scimagojr.com/journalsearch.php?q=2227-9717</v>
      </c>
    </row>
    <row r="17" spans="1:31" ht="56" x14ac:dyDescent="0.15">
      <c r="A17" s="37" t="s">
        <v>1178</v>
      </c>
      <c r="B17" s="37">
        <v>12.7</v>
      </c>
      <c r="C17" s="38" t="s">
        <v>1518</v>
      </c>
      <c r="D17" s="37">
        <v>5271</v>
      </c>
      <c r="E17" s="37">
        <v>416</v>
      </c>
      <c r="F17" s="37">
        <v>82</v>
      </c>
      <c r="G17" s="37">
        <v>1.966</v>
      </c>
      <c r="H17" s="37">
        <v>1.5189999999999999</v>
      </c>
      <c r="I17" s="37" t="s">
        <v>1513</v>
      </c>
      <c r="J17" s="35" t="s">
        <v>1409</v>
      </c>
      <c r="K17" s="35" t="s">
        <v>1440</v>
      </c>
      <c r="P17" s="37" t="s">
        <v>25</v>
      </c>
      <c r="Q17" t="s">
        <v>321</v>
      </c>
      <c r="R17" t="s">
        <v>75</v>
      </c>
      <c r="S17">
        <v>1060</v>
      </c>
      <c r="T17" t="s">
        <v>463</v>
      </c>
      <c r="U17">
        <v>0.9</v>
      </c>
      <c r="V17" t="s">
        <v>1409</v>
      </c>
      <c r="W17" t="s">
        <v>1426</v>
      </c>
      <c r="X17" s="35" t="e">
        <f>VLOOKUP(P17,A16:$K$45,2,FALSE)</f>
        <v>#N/A</v>
      </c>
      <c r="AA17"/>
      <c r="AB17" s="31" t="s">
        <v>883</v>
      </c>
      <c r="AC17" s="31" t="s">
        <v>1409</v>
      </c>
      <c r="AD17" t="s">
        <v>1450</v>
      </c>
      <c r="AE17" t="str">
        <f t="shared" si="0"/>
        <v>https://www.scimagojr.com/journalsearch.php?q=0164-1212</v>
      </c>
    </row>
    <row r="18" spans="1:31" ht="56" x14ac:dyDescent="0.15">
      <c r="A18" s="37" t="s">
        <v>408</v>
      </c>
      <c r="B18" s="37">
        <v>12.6</v>
      </c>
      <c r="C18" s="38" t="s">
        <v>1541</v>
      </c>
      <c r="D18" s="37">
        <v>6054</v>
      </c>
      <c r="E18" s="37">
        <v>482</v>
      </c>
      <c r="F18" s="37">
        <v>76</v>
      </c>
      <c r="G18" s="37">
        <v>2.319</v>
      </c>
      <c r="H18" s="37">
        <v>1.2250000000000001</v>
      </c>
      <c r="I18" s="37" t="s">
        <v>1513</v>
      </c>
      <c r="J18" s="35" t="s">
        <v>1409</v>
      </c>
      <c r="K18" s="35" t="s">
        <v>1598</v>
      </c>
      <c r="P18" s="37" t="s">
        <v>25</v>
      </c>
      <c r="Q18" t="s">
        <v>321</v>
      </c>
      <c r="R18" t="s">
        <v>17</v>
      </c>
      <c r="S18">
        <v>576</v>
      </c>
      <c r="T18" t="s">
        <v>498</v>
      </c>
      <c r="U18">
        <v>0.9</v>
      </c>
      <c r="V18" t="s">
        <v>1409</v>
      </c>
      <c r="W18" t="s">
        <v>1426</v>
      </c>
      <c r="X18" s="35" t="e">
        <f>VLOOKUP(P18,A17:$K$45,2,FALSE)</f>
        <v>#N/A</v>
      </c>
      <c r="AA18"/>
      <c r="AB18" s="31" t="s">
        <v>1112</v>
      </c>
      <c r="AC18" s="31" t="s">
        <v>1409</v>
      </c>
      <c r="AD18" t="s">
        <v>1586</v>
      </c>
      <c r="AE18" t="str">
        <f t="shared" si="0"/>
        <v>https://www.scimagojr.com/journalsearch.php?q=2624-800X</v>
      </c>
    </row>
    <row r="19" spans="1:31" ht="56" x14ac:dyDescent="0.15">
      <c r="A19" s="37" t="s">
        <v>222</v>
      </c>
      <c r="B19" s="37">
        <v>6.2</v>
      </c>
      <c r="C19" s="38" t="s">
        <v>1616</v>
      </c>
      <c r="D19" s="37">
        <v>4049</v>
      </c>
      <c r="E19" s="37">
        <v>657</v>
      </c>
      <c r="F19" s="37">
        <v>73</v>
      </c>
      <c r="G19" s="37">
        <v>1.1859999999999999</v>
      </c>
      <c r="H19" s="37">
        <v>0.64600000000000002</v>
      </c>
      <c r="I19" s="37" t="s">
        <v>1562</v>
      </c>
      <c r="J19" s="41" t="s">
        <v>1417</v>
      </c>
      <c r="K19" s="41" t="s">
        <v>1617</v>
      </c>
      <c r="P19" s="37" t="s">
        <v>25</v>
      </c>
      <c r="Q19" t="s">
        <v>640</v>
      </c>
      <c r="R19" t="s">
        <v>32</v>
      </c>
      <c r="S19">
        <v>562</v>
      </c>
      <c r="T19" t="s">
        <v>851</v>
      </c>
      <c r="U19">
        <v>0.9</v>
      </c>
      <c r="V19" t="s">
        <v>1409</v>
      </c>
      <c r="W19" t="s">
        <v>1426</v>
      </c>
      <c r="X19" s="35" t="e">
        <f>VLOOKUP(P19,A18:$K$45,2,FALSE)</f>
        <v>#N/A</v>
      </c>
      <c r="AA19"/>
      <c r="AB19" s="31" t="s">
        <v>1172</v>
      </c>
      <c r="AC19" s="31" t="s">
        <v>1409</v>
      </c>
      <c r="AD19" t="s">
        <v>1587</v>
      </c>
      <c r="AE19" t="str">
        <f t="shared" si="0"/>
        <v>https://www.scimagojr.com/journalsearch.php?q=0269-2821</v>
      </c>
    </row>
    <row r="20" spans="1:31" ht="56" x14ac:dyDescent="0.15">
      <c r="A20" s="37" t="s">
        <v>56</v>
      </c>
      <c r="B20" s="37">
        <v>11.6</v>
      </c>
      <c r="C20" s="38" t="s">
        <v>1519</v>
      </c>
      <c r="D20" s="37">
        <v>8466</v>
      </c>
      <c r="E20" s="37">
        <v>730</v>
      </c>
      <c r="F20" s="37">
        <v>88</v>
      </c>
      <c r="G20" s="37">
        <v>2.3039999999999998</v>
      </c>
      <c r="H20" s="37">
        <v>1.59</v>
      </c>
      <c r="I20" s="37" t="s">
        <v>1511</v>
      </c>
      <c r="J20" s="35" t="s">
        <v>1409</v>
      </c>
      <c r="K20" s="35" t="s">
        <v>1422</v>
      </c>
      <c r="P20" s="37" t="s">
        <v>25</v>
      </c>
      <c r="Q20" t="s">
        <v>1053</v>
      </c>
      <c r="R20" t="s">
        <v>75</v>
      </c>
      <c r="S20">
        <v>456</v>
      </c>
      <c r="T20" t="s">
        <v>1245</v>
      </c>
      <c r="U20">
        <v>0.9</v>
      </c>
      <c r="V20" t="s">
        <v>1409</v>
      </c>
      <c r="W20" t="s">
        <v>1426</v>
      </c>
      <c r="X20" s="35" t="e">
        <f>VLOOKUP(P20,A19:$K$45,2,FALSE)</f>
        <v>#N/A</v>
      </c>
      <c r="AA20"/>
      <c r="AB20" s="31" t="s">
        <v>203</v>
      </c>
      <c r="AC20" s="31" t="s">
        <v>1409</v>
      </c>
      <c r="AD20" t="s">
        <v>1588</v>
      </c>
      <c r="AE20" t="str">
        <f t="shared" si="0"/>
        <v>https://www.scimagojr.com/journalsearch.php?q=1524-9050</v>
      </c>
    </row>
    <row r="21" spans="1:31" ht="56" x14ac:dyDescent="0.15">
      <c r="A21" s="37" t="s">
        <v>659</v>
      </c>
      <c r="B21" s="37">
        <v>11.3</v>
      </c>
      <c r="C21" s="38" t="s">
        <v>1543</v>
      </c>
      <c r="D21" s="37">
        <v>4082</v>
      </c>
      <c r="E21" s="37">
        <v>362</v>
      </c>
      <c r="F21" s="37">
        <v>82</v>
      </c>
      <c r="G21" s="37">
        <v>1.546</v>
      </c>
      <c r="H21" s="37">
        <v>0.88600000000000001</v>
      </c>
      <c r="I21" s="37" t="s">
        <v>1522</v>
      </c>
      <c r="J21" s="35" t="s">
        <v>1417</v>
      </c>
      <c r="K21" s="35" t="s">
        <v>1577</v>
      </c>
      <c r="P21" s="37" t="s">
        <v>25</v>
      </c>
      <c r="Q21" t="s">
        <v>321</v>
      </c>
      <c r="R21" t="s">
        <v>75</v>
      </c>
      <c r="S21">
        <v>321</v>
      </c>
      <c r="T21" t="s">
        <v>528</v>
      </c>
      <c r="U21">
        <v>0.9</v>
      </c>
      <c r="V21" t="s">
        <v>1409</v>
      </c>
      <c r="W21" t="s">
        <v>1426</v>
      </c>
      <c r="X21" s="35" t="e">
        <f>VLOOKUP(P21,A20:$K$45,2,FALSE)</f>
        <v>#N/A</v>
      </c>
      <c r="AA21"/>
      <c r="AB21" s="31" t="s">
        <v>305</v>
      </c>
      <c r="AC21" s="31" t="s">
        <v>1409</v>
      </c>
      <c r="AD21" t="s">
        <v>1589</v>
      </c>
      <c r="AE21" t="str">
        <f t="shared" si="0"/>
        <v>https://www.scimagojr.com/journalsearch.php?q=1438-8871</v>
      </c>
    </row>
    <row r="22" spans="1:31" ht="56" x14ac:dyDescent="0.15">
      <c r="A22" s="37" t="s">
        <v>305</v>
      </c>
      <c r="B22" s="37">
        <v>10.4</v>
      </c>
      <c r="C22" s="38" t="s">
        <v>1544</v>
      </c>
      <c r="D22" s="37">
        <v>45068</v>
      </c>
      <c r="E22" s="37">
        <v>4316</v>
      </c>
      <c r="F22" s="37">
        <v>79</v>
      </c>
      <c r="G22" s="37">
        <v>2.3639999999999999</v>
      </c>
      <c r="H22" s="37">
        <v>2.109</v>
      </c>
      <c r="I22" s="37" t="s">
        <v>1545</v>
      </c>
      <c r="J22" s="35" t="s">
        <v>1409</v>
      </c>
      <c r="K22" s="35" t="s">
        <v>1589</v>
      </c>
      <c r="P22" s="37" t="s">
        <v>25</v>
      </c>
      <c r="Q22" t="s">
        <v>599</v>
      </c>
      <c r="R22" t="s">
        <v>32</v>
      </c>
      <c r="S22">
        <v>316</v>
      </c>
      <c r="T22" t="s">
        <v>618</v>
      </c>
      <c r="U22">
        <v>0.9</v>
      </c>
      <c r="V22" t="s">
        <v>1409</v>
      </c>
      <c r="W22" t="s">
        <v>1426</v>
      </c>
      <c r="X22" s="35" t="e">
        <f>VLOOKUP(P22,A21:$K$45,2,FALSE)</f>
        <v>#N/A</v>
      </c>
      <c r="AA22"/>
      <c r="AB22" s="31" t="s">
        <v>175</v>
      </c>
      <c r="AC22" s="31" t="s">
        <v>1417</v>
      </c>
      <c r="AD22" t="s">
        <v>1590</v>
      </c>
      <c r="AE22" t="str">
        <f t="shared" si="0"/>
        <v>https://www.scimagojr.com/journalsearch.php?q=2078-2489</v>
      </c>
    </row>
    <row r="23" spans="1:31" ht="56" x14ac:dyDescent="0.15">
      <c r="A23" s="37" t="s">
        <v>855</v>
      </c>
      <c r="B23" s="37">
        <v>10.1</v>
      </c>
      <c r="C23" s="38" t="s">
        <v>1520</v>
      </c>
      <c r="D23" s="37">
        <v>4544</v>
      </c>
      <c r="E23" s="37">
        <v>448</v>
      </c>
      <c r="F23" s="37">
        <v>63</v>
      </c>
      <c r="G23" s="37">
        <v>2.2890000000000001</v>
      </c>
      <c r="H23" s="37">
        <v>1.264</v>
      </c>
      <c r="I23" s="37" t="s">
        <v>1513</v>
      </c>
      <c r="J23" s="35" t="s">
        <v>1409</v>
      </c>
      <c r="K23" s="35" t="s">
        <v>1414</v>
      </c>
      <c r="P23" s="37" t="s">
        <v>25</v>
      </c>
      <c r="Q23" t="s">
        <v>321</v>
      </c>
      <c r="R23" t="s">
        <v>75</v>
      </c>
      <c r="S23">
        <v>278</v>
      </c>
      <c r="T23" t="s">
        <v>545</v>
      </c>
      <c r="U23">
        <v>0.9</v>
      </c>
      <c r="V23" t="s">
        <v>1409</v>
      </c>
      <c r="W23" t="s">
        <v>1426</v>
      </c>
      <c r="X23" s="35" t="e">
        <f>VLOOKUP(P23,A22:$K$45,2,FALSE)</f>
        <v>#N/A</v>
      </c>
      <c r="AA23"/>
      <c r="AB23" s="31" t="s">
        <v>1167</v>
      </c>
      <c r="AC23" s="31" t="s">
        <v>1417</v>
      </c>
      <c r="AD23" t="s">
        <v>1591</v>
      </c>
      <c r="AE23" t="str">
        <f t="shared" si="0"/>
        <v>https://www.scimagojr.com/journalsearch.php?q=2079-3197</v>
      </c>
    </row>
    <row r="24" spans="1:31" ht="56" x14ac:dyDescent="0.15">
      <c r="A24" s="37" t="s">
        <v>883</v>
      </c>
      <c r="B24" s="37">
        <v>10.1</v>
      </c>
      <c r="C24" s="38" t="s">
        <v>1546</v>
      </c>
      <c r="D24" s="37">
        <v>9274</v>
      </c>
      <c r="E24" s="37">
        <v>919</v>
      </c>
      <c r="F24" s="37">
        <v>86</v>
      </c>
      <c r="G24" s="37">
        <v>1.8120000000000001</v>
      </c>
      <c r="H24" s="37">
        <v>0.95</v>
      </c>
      <c r="I24" s="37" t="s">
        <v>1513</v>
      </c>
      <c r="J24" s="35" t="s">
        <v>1409</v>
      </c>
      <c r="K24" s="35" t="s">
        <v>1450</v>
      </c>
      <c r="P24" s="37" t="s">
        <v>25</v>
      </c>
      <c r="Q24" t="s">
        <v>321</v>
      </c>
      <c r="R24" t="s">
        <v>75</v>
      </c>
      <c r="S24">
        <v>263</v>
      </c>
      <c r="T24" t="s">
        <v>452</v>
      </c>
      <c r="U24">
        <v>0.9</v>
      </c>
      <c r="V24" t="s">
        <v>1409</v>
      </c>
      <c r="W24" t="s">
        <v>1426</v>
      </c>
      <c r="X24" s="35" t="e">
        <f>VLOOKUP(P24,A23:$K$45,2,FALSE)</f>
        <v>#N/A</v>
      </c>
      <c r="AA24"/>
      <c r="AB24" s="31" t="s">
        <v>1542</v>
      </c>
      <c r="AC24" s="31" t="s">
        <v>1409</v>
      </c>
      <c r="AD24" t="s">
        <v>1592</v>
      </c>
      <c r="AE24" t="str">
        <f t="shared" si="0"/>
        <v>https://www.scimagojr.com/journalsearch.php?q=2095-2228</v>
      </c>
    </row>
    <row r="25" spans="1:31" ht="56" x14ac:dyDescent="0.15">
      <c r="A25" s="37" t="s">
        <v>1198</v>
      </c>
      <c r="B25" s="37">
        <v>10</v>
      </c>
      <c r="C25" s="38" t="s">
        <v>1521</v>
      </c>
      <c r="D25" s="37">
        <v>18188</v>
      </c>
      <c r="E25" s="37">
        <v>1812</v>
      </c>
      <c r="F25" s="37">
        <v>82</v>
      </c>
      <c r="G25" s="37">
        <v>1.51</v>
      </c>
      <c r="H25" s="37">
        <v>0.84499999999999997</v>
      </c>
      <c r="I25" s="37" t="s">
        <v>1522</v>
      </c>
      <c r="J25" s="35" t="s">
        <v>1409</v>
      </c>
      <c r="K25" s="35" t="s">
        <v>1443</v>
      </c>
      <c r="P25" s="37" t="s">
        <v>25</v>
      </c>
      <c r="Q25" t="s">
        <v>599</v>
      </c>
      <c r="R25" t="s">
        <v>32</v>
      </c>
      <c r="S25">
        <v>147</v>
      </c>
      <c r="T25" t="s">
        <v>613</v>
      </c>
      <c r="U25">
        <v>0.9</v>
      </c>
      <c r="V25" t="s">
        <v>1409</v>
      </c>
      <c r="W25" t="s">
        <v>1426</v>
      </c>
      <c r="X25" s="35" t="e">
        <f>VLOOKUP(P25,A24:$K$45,2,FALSE)</f>
        <v>#N/A</v>
      </c>
      <c r="AA25"/>
      <c r="AB25" s="31" t="s">
        <v>532</v>
      </c>
      <c r="AC25" s="31" t="s">
        <v>1409</v>
      </c>
      <c r="AD25" t="s">
        <v>1593</v>
      </c>
      <c r="AE25" t="str">
        <f t="shared" si="0"/>
        <v>https://www.scimagojr.com/journalsearch.php?q=1545-5971</v>
      </c>
    </row>
    <row r="26" spans="1:31" ht="56" x14ac:dyDescent="0.15">
      <c r="A26" s="37" t="s">
        <v>299</v>
      </c>
      <c r="B26" s="37">
        <v>9.8000000000000007</v>
      </c>
      <c r="C26" s="38" t="s">
        <v>1547</v>
      </c>
      <c r="D26" s="37">
        <v>3057</v>
      </c>
      <c r="E26" s="37">
        <v>312</v>
      </c>
      <c r="F26" s="37">
        <v>91</v>
      </c>
      <c r="G26" s="37">
        <v>1.0329999999999999</v>
      </c>
      <c r="H26" s="37">
        <v>0.53900000000000003</v>
      </c>
      <c r="I26" s="37" t="s">
        <v>1530</v>
      </c>
      <c r="J26" s="35" t="s">
        <v>1417</v>
      </c>
      <c r="K26" s="35" t="s">
        <v>1599</v>
      </c>
      <c r="P26" s="37" t="s">
        <v>25</v>
      </c>
      <c r="Q26" t="s">
        <v>321</v>
      </c>
      <c r="R26" t="s">
        <v>17</v>
      </c>
      <c r="S26">
        <v>115</v>
      </c>
      <c r="T26" t="s">
        <v>447</v>
      </c>
      <c r="U26">
        <v>0.9</v>
      </c>
      <c r="V26" t="s">
        <v>1409</v>
      </c>
      <c r="W26" t="s">
        <v>1426</v>
      </c>
      <c r="X26" s="35" t="e">
        <f>VLOOKUP(P26,A25:$K$45,2,FALSE)</f>
        <v>#N/A</v>
      </c>
      <c r="AA26"/>
      <c r="AB26" s="31" t="s">
        <v>143</v>
      </c>
      <c r="AC26" s="31" t="s">
        <v>1409</v>
      </c>
      <c r="AD26" t="s">
        <v>1594</v>
      </c>
      <c r="AE26" t="str">
        <f t="shared" si="0"/>
        <v>https://www.scimagojr.com/journalsearch.php?q=1996-1073</v>
      </c>
    </row>
    <row r="27" spans="1:31" ht="56" x14ac:dyDescent="0.15">
      <c r="A27" s="37" t="s">
        <v>420</v>
      </c>
      <c r="B27" s="37">
        <v>9.4</v>
      </c>
      <c r="C27" s="38" t="s">
        <v>1548</v>
      </c>
      <c r="D27" s="37">
        <v>332876</v>
      </c>
      <c r="E27" s="37">
        <v>35473</v>
      </c>
      <c r="F27" s="37">
        <v>84</v>
      </c>
      <c r="G27" s="37">
        <v>1.375</v>
      </c>
      <c r="H27" s="37">
        <v>0.80200000000000005</v>
      </c>
      <c r="I27" s="37" t="s">
        <v>1522</v>
      </c>
      <c r="J27" s="35" t="s">
        <v>1409</v>
      </c>
      <c r="K27" s="35" t="s">
        <v>1602</v>
      </c>
      <c r="P27" s="37" t="s">
        <v>25</v>
      </c>
      <c r="Q27" t="s">
        <v>1053</v>
      </c>
      <c r="R27" t="s">
        <v>32</v>
      </c>
      <c r="S27">
        <v>92</v>
      </c>
      <c r="T27" t="s">
        <v>1225</v>
      </c>
      <c r="U27">
        <v>0.9</v>
      </c>
      <c r="V27" t="s">
        <v>1409</v>
      </c>
      <c r="W27" t="s">
        <v>1426</v>
      </c>
      <c r="X27" s="35" t="e">
        <f>VLOOKUP(P27,A26:$K$45,2,FALSE)</f>
        <v>#N/A</v>
      </c>
      <c r="AA27"/>
      <c r="AB27" s="31" t="s">
        <v>1537</v>
      </c>
      <c r="AC27" s="31" t="s">
        <v>1409</v>
      </c>
      <c r="AD27" t="s">
        <v>1595</v>
      </c>
      <c r="AE27" t="str">
        <f t="shared" si="0"/>
        <v>https://www.scimagojr.com/journalsearch.php?q=0360-8352</v>
      </c>
    </row>
    <row r="28" spans="1:31" ht="56" x14ac:dyDescent="0.15">
      <c r="A28" s="37" t="s">
        <v>1549</v>
      </c>
      <c r="B28" s="37">
        <v>9</v>
      </c>
      <c r="C28" s="38" t="s">
        <v>1550</v>
      </c>
      <c r="D28" s="37">
        <v>155535</v>
      </c>
      <c r="E28" s="37">
        <v>17373</v>
      </c>
      <c r="F28" s="37">
        <v>84</v>
      </c>
      <c r="G28" s="37">
        <v>1.236</v>
      </c>
      <c r="H28" s="37">
        <v>1.272</v>
      </c>
      <c r="I28" s="37" t="s">
        <v>1551</v>
      </c>
      <c r="J28" s="35" t="s">
        <v>1409</v>
      </c>
      <c r="K28" s="35" t="s">
        <v>1603</v>
      </c>
      <c r="P28" s="37" t="s">
        <v>25</v>
      </c>
      <c r="Q28" t="s">
        <v>321</v>
      </c>
      <c r="R28" t="s">
        <v>17</v>
      </c>
      <c r="S28">
        <v>78</v>
      </c>
      <c r="T28" t="s">
        <v>366</v>
      </c>
      <c r="U28">
        <v>0.9</v>
      </c>
      <c r="V28" t="s">
        <v>1409</v>
      </c>
      <c r="W28" t="s">
        <v>1426</v>
      </c>
      <c r="X28" s="35" t="e">
        <f>VLOOKUP(P28,A27:$K$45,2,FALSE)</f>
        <v>#N/A</v>
      </c>
      <c r="AA28"/>
      <c r="AB28" s="31" t="s">
        <v>456</v>
      </c>
      <c r="AC28" s="31" t="s">
        <v>1417</v>
      </c>
      <c r="AD28" t="s">
        <v>1596</v>
      </c>
      <c r="AE28" t="str">
        <f t="shared" si="0"/>
        <v>https://www.scimagojr.com/journalsearch.php?q=2227-7390</v>
      </c>
    </row>
    <row r="29" spans="1:31" ht="56" x14ac:dyDescent="0.15">
      <c r="A29" s="37" t="s">
        <v>1112</v>
      </c>
      <c r="B29" s="37">
        <v>8.8000000000000007</v>
      </c>
      <c r="C29" s="38" t="s">
        <v>1552</v>
      </c>
      <c r="D29" s="37">
        <v>2147</v>
      </c>
      <c r="E29" s="37">
        <v>243</v>
      </c>
      <c r="F29" s="37">
        <v>71</v>
      </c>
      <c r="G29" s="37">
        <v>1.766</v>
      </c>
      <c r="H29" s="37">
        <v>0.85899999999999999</v>
      </c>
      <c r="I29" s="37" t="s">
        <v>1522</v>
      </c>
      <c r="J29" s="35" t="s">
        <v>1409</v>
      </c>
      <c r="K29" s="35" t="s">
        <v>1586</v>
      </c>
      <c r="P29" s="37" t="s">
        <v>25</v>
      </c>
      <c r="Q29" t="s">
        <v>1053</v>
      </c>
      <c r="R29" t="s">
        <v>17</v>
      </c>
      <c r="S29">
        <v>76</v>
      </c>
      <c r="T29" t="s">
        <v>1209</v>
      </c>
      <c r="U29">
        <v>0.9</v>
      </c>
      <c r="V29" t="s">
        <v>1409</v>
      </c>
      <c r="W29" t="s">
        <v>1426</v>
      </c>
      <c r="X29" s="35" t="e">
        <f>VLOOKUP(P29,A28:$K$45,2,FALSE)</f>
        <v>#N/A</v>
      </c>
      <c r="AA29"/>
      <c r="AB29" s="31" t="s">
        <v>1527</v>
      </c>
      <c r="AC29" s="31" t="s">
        <v>1409</v>
      </c>
      <c r="AD29" t="s">
        <v>1597</v>
      </c>
      <c r="AE29" t="str">
        <f t="shared" si="0"/>
        <v>https://www.scimagojr.com/journalsearch.php?q=1553-877X</v>
      </c>
    </row>
    <row r="30" spans="1:31" ht="56" x14ac:dyDescent="0.15">
      <c r="A30" s="37" t="s">
        <v>1553</v>
      </c>
      <c r="B30" s="37">
        <v>8.6999999999999993</v>
      </c>
      <c r="C30" s="38" t="s">
        <v>1554</v>
      </c>
      <c r="D30" s="37">
        <v>3243</v>
      </c>
      <c r="E30" s="37">
        <v>373</v>
      </c>
      <c r="F30" s="37">
        <v>73</v>
      </c>
      <c r="G30" s="37">
        <v>1.929</v>
      </c>
      <c r="H30" s="37">
        <v>1.4370000000000001</v>
      </c>
      <c r="I30" s="37" t="s">
        <v>1515</v>
      </c>
      <c r="J30" s="35" t="s">
        <v>1409</v>
      </c>
      <c r="K30" s="35" t="s">
        <v>1576</v>
      </c>
      <c r="P30" s="37" t="s">
        <v>25</v>
      </c>
      <c r="Q30" t="s">
        <v>640</v>
      </c>
      <c r="R30" t="s">
        <v>32</v>
      </c>
      <c r="S30">
        <v>65</v>
      </c>
      <c r="T30" t="s">
        <v>846</v>
      </c>
      <c r="U30">
        <v>0.9</v>
      </c>
      <c r="V30" t="s">
        <v>1409</v>
      </c>
      <c r="W30" t="s">
        <v>1426</v>
      </c>
      <c r="X30" s="35" t="e">
        <f>VLOOKUP(P30,A29:$K$45,2,FALSE)</f>
        <v>#N/A</v>
      </c>
      <c r="AA30"/>
      <c r="AB30" s="31" t="s">
        <v>408</v>
      </c>
      <c r="AC30" s="31" t="s">
        <v>1409</v>
      </c>
      <c r="AD30" t="s">
        <v>1598</v>
      </c>
      <c r="AE30" t="str">
        <f t="shared" si="0"/>
        <v>https://www.scimagojr.com/journalsearch.php?q=2666-8270</v>
      </c>
    </row>
    <row r="31" spans="1:31" ht="56" x14ac:dyDescent="0.15">
      <c r="A31" s="37" t="s">
        <v>143</v>
      </c>
      <c r="B31" s="37">
        <v>8.3000000000000007</v>
      </c>
      <c r="C31" s="38" t="s">
        <v>1555</v>
      </c>
      <c r="D31" s="37">
        <v>251138</v>
      </c>
      <c r="E31" s="37">
        <v>30313</v>
      </c>
      <c r="F31" s="37">
        <v>84</v>
      </c>
      <c r="G31" s="37">
        <v>1.089</v>
      </c>
      <c r="H31" s="37">
        <v>0.748</v>
      </c>
      <c r="I31" s="37" t="s">
        <v>1522</v>
      </c>
      <c r="J31" s="35" t="s">
        <v>1409</v>
      </c>
      <c r="K31" s="35" t="s">
        <v>1594</v>
      </c>
      <c r="P31" s="37" t="s">
        <v>25</v>
      </c>
      <c r="Q31" t="s">
        <v>237</v>
      </c>
      <c r="R31" t="s">
        <v>32</v>
      </c>
      <c r="S31">
        <v>34</v>
      </c>
      <c r="T31" t="s">
        <v>274</v>
      </c>
      <c r="U31">
        <v>0.9</v>
      </c>
      <c r="V31" t="s">
        <v>1409</v>
      </c>
      <c r="W31" t="s">
        <v>1426</v>
      </c>
      <c r="X31" s="35" t="e">
        <f>VLOOKUP(P31,A30:$K$45,2,FALSE)</f>
        <v>#N/A</v>
      </c>
      <c r="AA31"/>
      <c r="AB31" s="31" t="s">
        <v>299</v>
      </c>
      <c r="AC31" s="31" t="s">
        <v>1417</v>
      </c>
      <c r="AD31" t="s">
        <v>1599</v>
      </c>
      <c r="AE31" t="str">
        <f t="shared" si="0"/>
        <v>https://www.scimagojr.com/journalsearch.php?q=1617-4909</v>
      </c>
    </row>
    <row r="32" spans="1:31" ht="56" x14ac:dyDescent="0.15">
      <c r="A32" s="37" t="s">
        <v>1556</v>
      </c>
      <c r="B32" s="37">
        <v>8.1999999999999993</v>
      </c>
      <c r="C32" s="38" t="s">
        <v>1557</v>
      </c>
      <c r="D32" s="37">
        <v>1228</v>
      </c>
      <c r="E32" s="37">
        <v>149</v>
      </c>
      <c r="F32" s="37">
        <v>76</v>
      </c>
      <c r="G32" s="37">
        <v>1.5720000000000001</v>
      </c>
      <c r="H32" s="37">
        <v>0.83899999999999997</v>
      </c>
      <c r="I32" s="37" t="s">
        <v>1530</v>
      </c>
      <c r="J32" s="35" t="s">
        <v>1409</v>
      </c>
      <c r="K32" s="35" t="s">
        <v>1580</v>
      </c>
      <c r="P32" s="37" t="s">
        <v>25</v>
      </c>
      <c r="Q32" t="s">
        <v>16</v>
      </c>
      <c r="R32" t="s">
        <v>32</v>
      </c>
      <c r="S32">
        <v>32</v>
      </c>
      <c r="T32" t="s">
        <v>82</v>
      </c>
      <c r="U32">
        <v>0.9</v>
      </c>
      <c r="V32" t="s">
        <v>1409</v>
      </c>
      <c r="W32" t="s">
        <v>1426</v>
      </c>
      <c r="X32" s="35" t="e">
        <f>VLOOKUP(P32,A31:$K$45,2,FALSE)</f>
        <v>#N/A</v>
      </c>
      <c r="AA32"/>
      <c r="AB32" s="31" t="s">
        <v>559</v>
      </c>
      <c r="AC32" s="31" t="s">
        <v>1417</v>
      </c>
      <c r="AD32" t="s">
        <v>1600</v>
      </c>
      <c r="AE32" t="str">
        <f t="shared" si="0"/>
        <v>https://www.scimagojr.com/journalsearch.php?q=1662-453X</v>
      </c>
    </row>
    <row r="33" spans="1:31" ht="56" x14ac:dyDescent="0.15">
      <c r="A33" s="37" t="s">
        <v>175</v>
      </c>
      <c r="B33" s="37">
        <v>8.1999999999999993</v>
      </c>
      <c r="C33" s="38" t="s">
        <v>1558</v>
      </c>
      <c r="D33" s="37">
        <v>25883</v>
      </c>
      <c r="E33" s="37">
        <v>3161</v>
      </c>
      <c r="F33" s="37">
        <v>75</v>
      </c>
      <c r="G33" s="37">
        <v>1.4990000000000001</v>
      </c>
      <c r="H33" s="37">
        <v>0.80500000000000005</v>
      </c>
      <c r="I33" s="37" t="s">
        <v>1522</v>
      </c>
      <c r="J33" s="35" t="s">
        <v>1417</v>
      </c>
      <c r="K33" s="35" t="s">
        <v>1590</v>
      </c>
      <c r="P33" s="37" t="s">
        <v>25</v>
      </c>
      <c r="Q33" t="s">
        <v>1053</v>
      </c>
      <c r="R33" t="s">
        <v>75</v>
      </c>
      <c r="S33">
        <v>15</v>
      </c>
      <c r="T33" t="s">
        <v>1118</v>
      </c>
      <c r="U33">
        <v>0.9</v>
      </c>
      <c r="V33" t="s">
        <v>1409</v>
      </c>
      <c r="W33" t="s">
        <v>1426</v>
      </c>
      <c r="X33" s="35" t="e">
        <f>VLOOKUP(P33,A32:$K$45,2,FALSE)</f>
        <v>#N/A</v>
      </c>
      <c r="AA33"/>
      <c r="AB33" s="31" t="s">
        <v>467</v>
      </c>
      <c r="AC33" s="31" t="s">
        <v>1409</v>
      </c>
      <c r="AD33" t="s">
        <v>1601</v>
      </c>
      <c r="AE33" t="str">
        <f t="shared" si="0"/>
        <v>https://www.scimagojr.com/journalsearch.php?q=0956-5515</v>
      </c>
    </row>
    <row r="34" spans="1:31" ht="56" x14ac:dyDescent="0.15">
      <c r="A34" s="37" t="s">
        <v>1559</v>
      </c>
      <c r="B34" s="37">
        <v>7.7</v>
      </c>
      <c r="C34" s="38" t="s">
        <v>1560</v>
      </c>
      <c r="D34" s="37">
        <v>1469</v>
      </c>
      <c r="E34" s="37">
        <v>191</v>
      </c>
      <c r="F34" s="37">
        <v>76</v>
      </c>
      <c r="G34" s="37">
        <v>1.7609999999999999</v>
      </c>
      <c r="H34" s="37">
        <v>0.71599999999999997</v>
      </c>
      <c r="I34" s="37" t="s">
        <v>1530</v>
      </c>
      <c r="J34" s="35" t="s">
        <v>1417</v>
      </c>
      <c r="K34" s="35" t="s">
        <v>1575</v>
      </c>
      <c r="P34" s="37" t="s">
        <v>25</v>
      </c>
      <c r="Q34" t="s">
        <v>640</v>
      </c>
      <c r="R34" t="s">
        <v>75</v>
      </c>
      <c r="S34">
        <v>12</v>
      </c>
      <c r="T34" t="s">
        <v>750</v>
      </c>
      <c r="U34">
        <v>0.9</v>
      </c>
      <c r="V34" t="s">
        <v>1409</v>
      </c>
      <c r="W34" t="s">
        <v>1426</v>
      </c>
      <c r="X34" s="35" t="e">
        <f>VLOOKUP(P34,A33:$K$45,2,FALSE)</f>
        <v>#N/A</v>
      </c>
      <c r="AA34"/>
      <c r="AB34" s="31" t="s">
        <v>420</v>
      </c>
      <c r="AC34" s="31" t="s">
        <v>1409</v>
      </c>
      <c r="AD34" t="s">
        <v>1602</v>
      </c>
      <c r="AE34" t="str">
        <f t="shared" si="0"/>
        <v>https://www.scimagojr.com/journalsearch.php?q=1424-8220</v>
      </c>
    </row>
    <row r="35" spans="1:31" ht="56" x14ac:dyDescent="0.15">
      <c r="A35" s="37" t="s">
        <v>559</v>
      </c>
      <c r="B35" s="37">
        <v>7.4</v>
      </c>
      <c r="C35" s="38" t="s">
        <v>1561</v>
      </c>
      <c r="D35" s="37">
        <v>45520</v>
      </c>
      <c r="E35" s="37">
        <v>6113</v>
      </c>
      <c r="F35" s="37">
        <v>85</v>
      </c>
      <c r="G35" s="37">
        <v>1.0940000000000001</v>
      </c>
      <c r="H35" s="37">
        <v>1.0680000000000001</v>
      </c>
      <c r="I35" s="37" t="s">
        <v>1562</v>
      </c>
      <c r="J35" s="35" t="s">
        <v>1417</v>
      </c>
      <c r="K35" s="35" t="s">
        <v>1600</v>
      </c>
      <c r="P35" s="37" t="s">
        <v>25</v>
      </c>
      <c r="Q35" t="s">
        <v>16</v>
      </c>
      <c r="R35" t="s">
        <v>32</v>
      </c>
      <c r="S35">
        <v>10</v>
      </c>
      <c r="T35" t="s">
        <v>87</v>
      </c>
      <c r="U35">
        <v>0.9</v>
      </c>
      <c r="V35" t="s">
        <v>1409</v>
      </c>
      <c r="W35" t="s">
        <v>1426</v>
      </c>
      <c r="X35" s="35" t="e">
        <f>VLOOKUP(P35,A34:$K$45,2,FALSE)</f>
        <v>#N/A</v>
      </c>
      <c r="AA35"/>
      <c r="AB35" s="31" t="s">
        <v>1549</v>
      </c>
      <c r="AC35" s="31" t="s">
        <v>1409</v>
      </c>
      <c r="AD35" t="s">
        <v>1603</v>
      </c>
      <c r="AE35" t="str">
        <f t="shared" si="0"/>
        <v>https://www.scimagojr.com/journalsearch.php?q=2470-0010</v>
      </c>
    </row>
    <row r="36" spans="1:31" ht="56" x14ac:dyDescent="0.15">
      <c r="A36" s="37" t="s">
        <v>1266</v>
      </c>
      <c r="B36" s="37">
        <v>6.4</v>
      </c>
      <c r="C36" s="38" t="s">
        <v>1563</v>
      </c>
      <c r="D36" s="37">
        <v>768195</v>
      </c>
      <c r="E36" s="37">
        <v>119519</v>
      </c>
      <c r="F36" s="37">
        <v>75</v>
      </c>
      <c r="G36" s="37">
        <v>1.339</v>
      </c>
      <c r="H36" s="37">
        <v>0.89300000000000002</v>
      </c>
      <c r="I36" s="37" t="s">
        <v>1530</v>
      </c>
      <c r="J36" s="35" t="s">
        <v>1409</v>
      </c>
      <c r="K36" s="35" t="s">
        <v>1464</v>
      </c>
      <c r="P36" s="37" t="s">
        <v>25</v>
      </c>
      <c r="Q36" t="s">
        <v>16</v>
      </c>
      <c r="R36" t="s">
        <v>32</v>
      </c>
      <c r="S36">
        <v>9</v>
      </c>
      <c r="T36" t="s">
        <v>71</v>
      </c>
      <c r="U36">
        <v>0.9</v>
      </c>
      <c r="V36" t="s">
        <v>1409</v>
      </c>
      <c r="W36" t="s">
        <v>1426</v>
      </c>
      <c r="X36" s="35" t="e">
        <f>VLOOKUP(P36,A35:$K$45,2,FALSE)</f>
        <v>#N/A</v>
      </c>
      <c r="AA36"/>
      <c r="AB36" s="31" t="s">
        <v>377</v>
      </c>
      <c r="AC36" s="31" t="s">
        <v>1409</v>
      </c>
      <c r="AD36" t="s">
        <v>1604</v>
      </c>
      <c r="AE36" t="str">
        <f t="shared" si="0"/>
        <v>https://www.scimagojr.com/journalsearch.php?q=2731-538X</v>
      </c>
    </row>
    <row r="37" spans="1:31" ht="56" x14ac:dyDescent="0.15">
      <c r="A37" s="37" t="s">
        <v>126</v>
      </c>
      <c r="B37" s="37">
        <v>6.1</v>
      </c>
      <c r="C37" s="38" t="s">
        <v>1564</v>
      </c>
      <c r="D37" s="37">
        <v>309267</v>
      </c>
      <c r="E37" s="37">
        <v>50781</v>
      </c>
      <c r="F37" s="37">
        <v>78</v>
      </c>
      <c r="G37" s="37">
        <v>1.016</v>
      </c>
      <c r="H37" s="37">
        <v>0.55500000000000005</v>
      </c>
      <c r="I37" s="37" t="s">
        <v>1522</v>
      </c>
      <c r="J37" s="35" t="s">
        <v>1417</v>
      </c>
      <c r="K37" s="35" t="s">
        <v>1605</v>
      </c>
      <c r="P37" s="37" t="s">
        <v>25</v>
      </c>
      <c r="Q37" t="s">
        <v>16</v>
      </c>
      <c r="R37" t="s">
        <v>17</v>
      </c>
      <c r="S37">
        <v>7</v>
      </c>
      <c r="T37" t="s">
        <v>27</v>
      </c>
      <c r="U37">
        <v>0.9</v>
      </c>
      <c r="V37" t="s">
        <v>1409</v>
      </c>
      <c r="W37" t="s">
        <v>1426</v>
      </c>
      <c r="X37" s="35" t="e">
        <f>VLOOKUP(P37,A36:$K$45,2,FALSE)</f>
        <v>#N/A</v>
      </c>
      <c r="AA37"/>
      <c r="AB37" s="31" t="s">
        <v>126</v>
      </c>
      <c r="AC37" s="31" t="s">
        <v>1417</v>
      </c>
      <c r="AD37" t="s">
        <v>1605</v>
      </c>
      <c r="AE37" t="str">
        <f t="shared" si="0"/>
        <v>https://www.scimagojr.com/journalsearch.php?q=2076-3417</v>
      </c>
    </row>
    <row r="38" spans="1:31" ht="56" x14ac:dyDescent="0.15">
      <c r="A38" s="37" t="s">
        <v>606</v>
      </c>
      <c r="B38" s="37">
        <v>5.7</v>
      </c>
      <c r="C38" s="38" t="s">
        <v>1565</v>
      </c>
      <c r="D38" s="37">
        <v>74074</v>
      </c>
      <c r="E38" s="37">
        <v>12966</v>
      </c>
      <c r="F38" s="37">
        <v>75</v>
      </c>
      <c r="G38" s="37">
        <v>0.90900000000000003</v>
      </c>
      <c r="H38" s="37">
        <v>0.57599999999999996</v>
      </c>
      <c r="I38" s="37" t="s">
        <v>1522</v>
      </c>
      <c r="J38" s="35" t="s">
        <v>1417</v>
      </c>
      <c r="K38" s="35" t="s">
        <v>1585</v>
      </c>
      <c r="P38" s="37" t="s">
        <v>25</v>
      </c>
      <c r="Q38" t="s">
        <v>16</v>
      </c>
      <c r="R38" t="s">
        <v>32</v>
      </c>
      <c r="S38">
        <v>3</v>
      </c>
      <c r="T38" t="s">
        <v>46</v>
      </c>
      <c r="U38">
        <v>0.9</v>
      </c>
      <c r="V38" t="s">
        <v>1409</v>
      </c>
      <c r="W38" t="s">
        <v>1426</v>
      </c>
      <c r="X38" s="35" t="e">
        <f>VLOOKUP(P38,A37:$K$45,2,FALSE)</f>
        <v>#N/A</v>
      </c>
      <c r="AA38"/>
      <c r="AB38" s="31" t="s">
        <v>831</v>
      </c>
      <c r="AC38" s="31" t="s">
        <v>1409</v>
      </c>
      <c r="AD38" t="s">
        <v>1410</v>
      </c>
      <c r="AE38" t="str">
        <f t="shared" si="0"/>
        <v>https://www.scimagojr.com/journalsearch.php?q=2046-1402</v>
      </c>
    </row>
    <row r="39" spans="1:31" ht="56" x14ac:dyDescent="0.15">
      <c r="A39" s="37" t="s">
        <v>294</v>
      </c>
      <c r="B39" s="37">
        <v>5.4</v>
      </c>
      <c r="C39" s="38" t="s">
        <v>1566</v>
      </c>
      <c r="D39" s="37">
        <v>4823</v>
      </c>
      <c r="E39" s="37">
        <v>887</v>
      </c>
      <c r="F39" s="37">
        <v>79</v>
      </c>
      <c r="G39" s="37">
        <v>1.145</v>
      </c>
      <c r="H39" s="37">
        <v>0.60299999999999998</v>
      </c>
      <c r="I39" s="37" t="s">
        <v>1567</v>
      </c>
      <c r="J39" s="35" t="s">
        <v>1417</v>
      </c>
      <c r="K39" s="35" t="s">
        <v>1581</v>
      </c>
      <c r="P39" s="37" t="s">
        <v>25</v>
      </c>
      <c r="Q39" t="s">
        <v>16</v>
      </c>
      <c r="R39" t="s">
        <v>32</v>
      </c>
      <c r="S39">
        <v>0</v>
      </c>
      <c r="T39" t="s">
        <v>63</v>
      </c>
      <c r="U39">
        <v>0.9</v>
      </c>
      <c r="V39" t="s">
        <v>1409</v>
      </c>
      <c r="W39" t="s">
        <v>1426</v>
      </c>
      <c r="X39" s="35" t="e">
        <f>VLOOKUP(P39,A38:$K$45,2,FALSE)</f>
        <v>#N/A</v>
      </c>
      <c r="AA39"/>
      <c r="AB39" s="31" t="s">
        <v>1198</v>
      </c>
      <c r="AC39" s="31" t="s">
        <v>1409</v>
      </c>
      <c r="AD39" t="s">
        <v>1443</v>
      </c>
      <c r="AE39" t="str">
        <f t="shared" si="0"/>
        <v>https://www.scimagojr.com/journalsearch.php?q=1999-5903</v>
      </c>
    </row>
    <row r="40" spans="1:31" ht="48" x14ac:dyDescent="0.15">
      <c r="A40" s="37" t="s">
        <v>1192</v>
      </c>
      <c r="B40" s="37">
        <v>5.4</v>
      </c>
      <c r="C40" s="38" t="s">
        <v>1523</v>
      </c>
      <c r="D40" s="37">
        <v>13039</v>
      </c>
      <c r="E40" s="37">
        <v>2409</v>
      </c>
      <c r="F40" s="37">
        <v>72</v>
      </c>
      <c r="G40" s="37">
        <v>1.01</v>
      </c>
      <c r="H40" s="37">
        <v>0.56999999999999995</v>
      </c>
      <c r="I40" s="37" t="s">
        <v>1522</v>
      </c>
      <c r="J40" s="35" t="s">
        <v>1417</v>
      </c>
      <c r="K40" s="35" t="s">
        <v>1418</v>
      </c>
      <c r="P40" s="37" t="s">
        <v>855</v>
      </c>
      <c r="Q40" t="s">
        <v>640</v>
      </c>
      <c r="R40" t="s">
        <v>32</v>
      </c>
      <c r="S40">
        <v>216</v>
      </c>
      <c r="T40" t="s">
        <v>857</v>
      </c>
      <c r="U40">
        <v>0.88</v>
      </c>
      <c r="V40" t="s">
        <v>1409</v>
      </c>
      <c r="W40" t="s">
        <v>1414</v>
      </c>
      <c r="X40" s="35" t="e">
        <f>VLOOKUP(P40,A39:$K$45,2,FALSE)</f>
        <v>#N/A</v>
      </c>
      <c r="AA40"/>
      <c r="AB40" s="31" t="s">
        <v>1192</v>
      </c>
      <c r="AC40" s="31" t="s">
        <v>1417</v>
      </c>
      <c r="AD40" t="s">
        <v>1418</v>
      </c>
      <c r="AE40" t="str">
        <f t="shared" si="0"/>
        <v>https://www.scimagojr.com/journalsearch.php?q=1999-4893</v>
      </c>
    </row>
    <row r="41" spans="1:31" ht="56" x14ac:dyDescent="0.15">
      <c r="A41" s="37" t="s">
        <v>456</v>
      </c>
      <c r="B41" s="37">
        <v>5.4</v>
      </c>
      <c r="C41" s="38" t="s">
        <v>1568</v>
      </c>
      <c r="D41" s="37">
        <v>95684</v>
      </c>
      <c r="E41" s="37">
        <v>17727</v>
      </c>
      <c r="F41" s="37">
        <v>73</v>
      </c>
      <c r="G41" s="37">
        <v>0.93200000000000005</v>
      </c>
      <c r="H41" s="37">
        <v>0.497</v>
      </c>
      <c r="I41" s="37" t="s">
        <v>1522</v>
      </c>
      <c r="J41" s="35" t="s">
        <v>1417</v>
      </c>
      <c r="K41" s="35" t="s">
        <v>1596</v>
      </c>
      <c r="P41" s="37" t="s">
        <v>228</v>
      </c>
      <c r="Q41" t="s">
        <v>155</v>
      </c>
      <c r="R41" t="s">
        <v>32</v>
      </c>
      <c r="S41">
        <v>401</v>
      </c>
      <c r="T41" t="s">
        <v>230</v>
      </c>
      <c r="U41" t="e">
        <v>#N/A</v>
      </c>
      <c r="V41" s="31" t="s">
        <v>1409</v>
      </c>
      <c r="W41" t="s">
        <v>1499</v>
      </c>
      <c r="X41" s="35" t="e">
        <f>VLOOKUP(P41,A40:$K$45,2,FALSE)</f>
        <v>#N/A</v>
      </c>
      <c r="AA41"/>
      <c r="AB41" s="31" t="s">
        <v>549</v>
      </c>
      <c r="AC41" s="31" t="s">
        <v>1409</v>
      </c>
      <c r="AD41" t="s">
        <v>1460</v>
      </c>
      <c r="AE41" t="str">
        <f t="shared" si="0"/>
        <v>https://www.scimagojr.com/journalsearch.php?q=1939-1374</v>
      </c>
    </row>
    <row r="42" spans="1:31" ht="48" x14ac:dyDescent="0.15">
      <c r="A42" s="37" t="s">
        <v>414</v>
      </c>
      <c r="B42" s="37">
        <v>5.3</v>
      </c>
      <c r="C42" s="38" t="s">
        <v>1569</v>
      </c>
      <c r="D42" s="37">
        <v>1679</v>
      </c>
      <c r="E42" s="37">
        <v>316</v>
      </c>
      <c r="F42" s="37">
        <v>68</v>
      </c>
      <c r="G42" s="37">
        <v>0.77500000000000002</v>
      </c>
      <c r="H42" s="37">
        <v>0.48799999999999999</v>
      </c>
      <c r="I42" s="37" t="s">
        <v>1567</v>
      </c>
      <c r="J42" s="35" t="s">
        <v>1417</v>
      </c>
      <c r="K42" s="35" t="s">
        <v>1584</v>
      </c>
      <c r="P42" s="37" t="s">
        <v>126</v>
      </c>
      <c r="Q42" t="s">
        <v>321</v>
      </c>
      <c r="R42" t="s">
        <v>17</v>
      </c>
      <c r="S42">
        <v>396</v>
      </c>
      <c r="T42" t="s">
        <v>361</v>
      </c>
      <c r="U42" t="e">
        <v>#N/A</v>
      </c>
      <c r="V42" t="e">
        <v>#N/A</v>
      </c>
      <c r="W42" t="e">
        <v>#N/A</v>
      </c>
      <c r="X42" s="35" t="e">
        <f>VLOOKUP(P42,A41:$K$45,2,FALSE)</f>
        <v>#N/A</v>
      </c>
      <c r="AA42"/>
      <c r="AB42" s="31" t="s">
        <v>39</v>
      </c>
      <c r="AC42" s="31" t="s">
        <v>1409</v>
      </c>
      <c r="AD42" t="s">
        <v>1430</v>
      </c>
      <c r="AE42" t="str">
        <f t="shared" si="0"/>
        <v>https://www.scimagojr.com/journalsearch.php?q=1566-2535</v>
      </c>
    </row>
    <row r="43" spans="1:31" ht="56" x14ac:dyDescent="0.15">
      <c r="A43" s="37" t="s">
        <v>1167</v>
      </c>
      <c r="B43" s="37">
        <v>5.2</v>
      </c>
      <c r="C43" s="38" t="s">
        <v>1570</v>
      </c>
      <c r="D43" s="37">
        <v>5224</v>
      </c>
      <c r="E43" s="37">
        <v>1014</v>
      </c>
      <c r="F43" s="37">
        <v>73</v>
      </c>
      <c r="G43" s="37">
        <v>0.98799999999999999</v>
      </c>
      <c r="H43" s="37">
        <v>0.47699999999999998</v>
      </c>
      <c r="I43" s="37" t="s">
        <v>1522</v>
      </c>
      <c r="J43" s="35" t="s">
        <v>1417</v>
      </c>
      <c r="K43" s="35" t="s">
        <v>1591</v>
      </c>
      <c r="P43" s="37" t="s">
        <v>377</v>
      </c>
      <c r="Q43" t="s">
        <v>321</v>
      </c>
      <c r="R43" t="s">
        <v>17</v>
      </c>
      <c r="S43">
        <v>389</v>
      </c>
      <c r="T43" t="s">
        <v>379</v>
      </c>
      <c r="U43" t="e">
        <v>#N/A</v>
      </c>
      <c r="V43" t="e">
        <v>#N/A</v>
      </c>
      <c r="W43" t="e">
        <v>#N/A</v>
      </c>
      <c r="X43" s="35" t="e">
        <f>VLOOKUP(P43,A42:$K$45,2,FALSE)</f>
        <v>#N/A</v>
      </c>
      <c r="AA43"/>
      <c r="AB43" s="31" t="s">
        <v>56</v>
      </c>
      <c r="AC43" s="31" t="s">
        <v>1409</v>
      </c>
      <c r="AD43" t="s">
        <v>1422</v>
      </c>
      <c r="AE43" t="str">
        <f t="shared" si="0"/>
        <v>https://www.scimagojr.com/journalsearch.php?q=1049-331X</v>
      </c>
    </row>
    <row r="44" spans="1:31" ht="56" x14ac:dyDescent="0.15">
      <c r="A44" s="37" t="s">
        <v>831</v>
      </c>
      <c r="B44" s="37">
        <v>2.9</v>
      </c>
      <c r="C44" s="38" t="s">
        <v>1524</v>
      </c>
      <c r="D44" s="37">
        <v>7558</v>
      </c>
      <c r="E44" s="37">
        <v>2612</v>
      </c>
      <c r="F44" s="37">
        <v>64</v>
      </c>
      <c r="G44" s="37">
        <v>0.64100000000000001</v>
      </c>
      <c r="H44" s="37">
        <v>0.432</v>
      </c>
      <c r="I44" s="37" t="s">
        <v>1525</v>
      </c>
      <c r="J44" s="35" t="s">
        <v>1409</v>
      </c>
      <c r="K44" s="35" t="s">
        <v>1410</v>
      </c>
      <c r="P44" s="37" t="s">
        <v>538</v>
      </c>
      <c r="Q44" t="s">
        <v>321</v>
      </c>
      <c r="R44" t="s">
        <v>75</v>
      </c>
      <c r="S44">
        <v>315</v>
      </c>
      <c r="T44" t="s">
        <v>540</v>
      </c>
      <c r="U44" t="e">
        <v>#N/A</v>
      </c>
      <c r="V44" t="e">
        <v>#N/A</v>
      </c>
      <c r="W44" t="e">
        <v>#N/A</v>
      </c>
      <c r="X44" s="35" t="e">
        <f>VLOOKUP(P44,A43:$K$45,2,FALSE)</f>
        <v>#N/A</v>
      </c>
      <c r="AA44"/>
      <c r="AB44" s="31" t="s">
        <v>50</v>
      </c>
      <c r="AC44" s="31" t="s">
        <v>1409</v>
      </c>
      <c r="AD44" t="s">
        <v>1462</v>
      </c>
      <c r="AE44" t="str">
        <f t="shared" si="0"/>
        <v>https://www.scimagojr.com/journalsearch.php?q=0957-4174</v>
      </c>
    </row>
    <row r="45" spans="1:31" ht="48" x14ac:dyDescent="0.15">
      <c r="A45" s="37" t="s">
        <v>1571</v>
      </c>
      <c r="B45" s="37">
        <v>2.6</v>
      </c>
      <c r="C45" s="38" t="s">
        <v>1572</v>
      </c>
      <c r="D45" s="37">
        <v>681</v>
      </c>
      <c r="E45" s="37">
        <v>258</v>
      </c>
      <c r="F45" s="37">
        <v>62</v>
      </c>
      <c r="G45" s="37">
        <v>0.49099999999999999</v>
      </c>
      <c r="H45" s="37">
        <v>0.308</v>
      </c>
      <c r="I45" s="37" t="s">
        <v>1573</v>
      </c>
      <c r="J45" s="35" t="s">
        <v>1606</v>
      </c>
      <c r="K45" s="35" t="s">
        <v>1578</v>
      </c>
      <c r="P45" s="37" t="s">
        <v>420</v>
      </c>
      <c r="Q45" t="s">
        <v>321</v>
      </c>
      <c r="R45" t="s">
        <v>17</v>
      </c>
      <c r="S45">
        <v>264</v>
      </c>
      <c r="T45" t="s">
        <v>422</v>
      </c>
      <c r="U45" t="e">
        <v>#N/A</v>
      </c>
      <c r="V45" t="e">
        <v>#N/A</v>
      </c>
      <c r="W45" t="e">
        <v>#N/A</v>
      </c>
      <c r="X45" s="35" t="e">
        <f>VLOOKUP(P45,A44:$K$45,2,FALSE)</f>
        <v>#N/A</v>
      </c>
      <c r="AA45" s="31"/>
      <c r="AB45" s="31" t="s">
        <v>383</v>
      </c>
      <c r="AC45" s="31" t="s">
        <v>1409</v>
      </c>
      <c r="AD45" s="31" t="s">
        <v>1424</v>
      </c>
      <c r="AE45" t="str">
        <f t="shared" si="0"/>
        <v>https://www.scimagojr.com/journalsearch.php?q=0360-0300</v>
      </c>
    </row>
    <row r="46" spans="1:31" ht="56" x14ac:dyDescent="0.15">
      <c r="A46" s="32" t="s">
        <v>25</v>
      </c>
      <c r="B46" s="32">
        <v>9.3000000000000007</v>
      </c>
      <c r="C46" s="33" t="s">
        <v>1610</v>
      </c>
      <c r="D46" s="32">
        <v>437277</v>
      </c>
      <c r="E46" s="32">
        <v>46875</v>
      </c>
      <c r="F46" s="32">
        <v>79</v>
      </c>
      <c r="G46" s="32">
        <v>1.4830000000000001</v>
      </c>
      <c r="H46" s="32">
        <v>0.88400000000000001</v>
      </c>
      <c r="I46" s="32" t="s">
        <v>1515</v>
      </c>
      <c r="J46" s="41" t="s">
        <v>1409</v>
      </c>
      <c r="K46" s="41" t="s">
        <v>1426</v>
      </c>
      <c r="P46" s="35" t="s">
        <v>467</v>
      </c>
      <c r="Q46" t="s">
        <v>321</v>
      </c>
      <c r="R46" t="s">
        <v>75</v>
      </c>
      <c r="S46">
        <v>247</v>
      </c>
      <c r="T46" t="s">
        <v>469</v>
      </c>
      <c r="U46" t="e">
        <v>#N/A</v>
      </c>
      <c r="V46" t="e">
        <v>#N/A</v>
      </c>
      <c r="W46" t="e">
        <v>#N/A</v>
      </c>
      <c r="X46" s="35" t="e">
        <f>VLOOKUP(P46,A45:$K$45,2,FALSE)</f>
        <v>#N/A</v>
      </c>
      <c r="AA46"/>
      <c r="AB46" s="31" t="s">
        <v>1178</v>
      </c>
      <c r="AC46" s="31" t="s">
        <v>1409</v>
      </c>
      <c r="AD46" t="s">
        <v>1440</v>
      </c>
      <c r="AE46" t="str">
        <f t="shared" si="0"/>
        <v>https://www.scimagojr.com/journalsearch.php?q=0308-5961</v>
      </c>
    </row>
    <row r="47" spans="1:31" ht="42" x14ac:dyDescent="0.15">
      <c r="A47" s="42" t="s">
        <v>268</v>
      </c>
      <c r="B47" s="32">
        <v>7</v>
      </c>
      <c r="C47" s="33" t="s">
        <v>1611</v>
      </c>
      <c r="D47" s="32">
        <v>134403</v>
      </c>
      <c r="E47" s="32">
        <v>19097</v>
      </c>
      <c r="F47" s="32">
        <v>78</v>
      </c>
      <c r="G47" s="32">
        <v>1.034</v>
      </c>
      <c r="H47" s="32">
        <v>0.623</v>
      </c>
      <c r="I47" s="32" t="s">
        <v>1522</v>
      </c>
      <c r="J47" s="41" t="s">
        <v>1417</v>
      </c>
      <c r="K47" s="41" t="s">
        <v>1479</v>
      </c>
      <c r="P47" s="35" t="s">
        <v>559</v>
      </c>
      <c r="Q47" t="s">
        <v>599</v>
      </c>
      <c r="R47" t="s">
        <v>17</v>
      </c>
      <c r="S47">
        <v>245</v>
      </c>
      <c r="T47" t="s">
        <v>628</v>
      </c>
      <c r="U47" t="e">
        <v>#N/A</v>
      </c>
      <c r="V47" t="e">
        <v>#N/A</v>
      </c>
      <c r="W47" t="e">
        <v>#N/A</v>
      </c>
      <c r="X47" s="35" t="e">
        <f>VLOOKUP(P47,A$45:$K46,2,FALSE)</f>
        <v>#N/A</v>
      </c>
      <c r="AA47"/>
      <c r="AB47" s="31" t="s">
        <v>855</v>
      </c>
      <c r="AC47" s="31" t="s">
        <v>1409</v>
      </c>
      <c r="AD47" t="s">
        <v>1414</v>
      </c>
      <c r="AE47" t="str">
        <f t="shared" si="0"/>
        <v>https://www.scimagojr.com/journalsearch.php?q=2590-0056</v>
      </c>
    </row>
    <row r="48" spans="1:31" ht="56" x14ac:dyDescent="0.15">
      <c r="A48" s="32" t="s">
        <v>770</v>
      </c>
      <c r="B48" s="32">
        <v>9.1</v>
      </c>
      <c r="C48" s="33" t="s">
        <v>1612</v>
      </c>
      <c r="D48" s="32">
        <v>12296</v>
      </c>
      <c r="E48" s="32">
        <v>1347</v>
      </c>
      <c r="F48" s="32">
        <v>74</v>
      </c>
      <c r="G48" s="32">
        <v>1.8</v>
      </c>
      <c r="H48" s="32">
        <v>0.93500000000000005</v>
      </c>
      <c r="I48" s="32" t="s">
        <v>1522</v>
      </c>
      <c r="J48" s="41" t="s">
        <v>1409</v>
      </c>
      <c r="K48" s="41" t="s">
        <v>1613</v>
      </c>
      <c r="P48" s="35" t="s">
        <v>299</v>
      </c>
      <c r="Q48" t="s">
        <v>237</v>
      </c>
      <c r="R48" t="s">
        <v>32</v>
      </c>
      <c r="S48">
        <v>233</v>
      </c>
      <c r="T48" t="s">
        <v>301</v>
      </c>
      <c r="U48" t="e">
        <v>#N/A</v>
      </c>
      <c r="V48" t="e">
        <v>#N/A</v>
      </c>
      <c r="W48" t="e">
        <v>#N/A</v>
      </c>
      <c r="X48" s="35" t="e">
        <f>VLOOKUP(P48,A$45:$K47,2,FALSE)</f>
        <v>#N/A</v>
      </c>
      <c r="AA48"/>
      <c r="AB48" s="31" t="s">
        <v>228</v>
      </c>
      <c r="AC48" s="31" t="s">
        <v>1409</v>
      </c>
      <c r="AD48" t="s">
        <v>1499</v>
      </c>
      <c r="AE48" t="str">
        <f t="shared" si="0"/>
        <v>https://www.scimagojr.com/journalsearch.php?q=1551-3203</v>
      </c>
    </row>
    <row r="49" spans="1:31" ht="42" x14ac:dyDescent="0.15">
      <c r="A49" s="32" t="s">
        <v>1556</v>
      </c>
      <c r="B49" s="32">
        <v>8.1999999999999993</v>
      </c>
      <c r="C49" s="33" t="s">
        <v>1557</v>
      </c>
      <c r="D49" s="32">
        <v>1228</v>
      </c>
      <c r="E49" s="32">
        <v>149</v>
      </c>
      <c r="F49" s="32">
        <v>76</v>
      </c>
      <c r="G49" s="32">
        <v>1.5720000000000001</v>
      </c>
      <c r="H49" s="32">
        <v>0.83899999999999997</v>
      </c>
      <c r="I49" s="32" t="s">
        <v>1530</v>
      </c>
      <c r="J49" s="41" t="s">
        <v>1409</v>
      </c>
      <c r="K49" s="41" t="s">
        <v>1580</v>
      </c>
      <c r="P49" s="35" t="s">
        <v>126</v>
      </c>
      <c r="Q49" t="s">
        <v>321</v>
      </c>
      <c r="R49" t="s">
        <v>17</v>
      </c>
      <c r="S49">
        <v>202</v>
      </c>
      <c r="T49" t="s">
        <v>490</v>
      </c>
      <c r="U49" t="e">
        <v>#N/A</v>
      </c>
      <c r="V49" t="e">
        <v>#N/A</v>
      </c>
      <c r="W49" t="e">
        <v>#N/A</v>
      </c>
      <c r="X49" s="35" t="e">
        <f>VLOOKUP(P49,A$45:$K48,2,FALSE)</f>
        <v>#N/A</v>
      </c>
      <c r="AB49" s="41" t="s">
        <v>25</v>
      </c>
      <c r="AC49" s="41" t="s">
        <v>1409</v>
      </c>
      <c r="AD49" s="41" t="s">
        <v>1426</v>
      </c>
      <c r="AE49" s="35" t="str">
        <f t="shared" si="0"/>
        <v>https://www.scimagojr.com/journalsearch.php?q=2169-3536</v>
      </c>
    </row>
    <row r="50" spans="1:31" ht="56" x14ac:dyDescent="0.15">
      <c r="A50" s="32" t="s">
        <v>1537</v>
      </c>
      <c r="B50" s="32">
        <v>13.5</v>
      </c>
      <c r="C50" s="32" t="s">
        <v>1538</v>
      </c>
      <c r="D50" s="32">
        <v>42857</v>
      </c>
      <c r="E50" s="32">
        <v>3171</v>
      </c>
      <c r="F50" s="32">
        <v>88</v>
      </c>
      <c r="G50" s="32">
        <v>1.788</v>
      </c>
      <c r="H50" s="32">
        <v>1.5880000000000001</v>
      </c>
      <c r="I50" s="32" t="s">
        <v>1513</v>
      </c>
      <c r="J50" s="41" t="s">
        <v>1409</v>
      </c>
      <c r="K50" s="41" t="s">
        <v>1595</v>
      </c>
      <c r="P50" s="35" t="s">
        <v>408</v>
      </c>
      <c r="Q50" t="s">
        <v>321</v>
      </c>
      <c r="R50" t="s">
        <v>17</v>
      </c>
      <c r="S50">
        <v>194</v>
      </c>
      <c r="T50" t="s">
        <v>410</v>
      </c>
      <c r="U50" t="e">
        <v>#N/A</v>
      </c>
      <c r="V50" t="e">
        <v>#N/A</v>
      </c>
      <c r="W50" t="e">
        <v>#N/A</v>
      </c>
      <c r="X50" s="35" t="e">
        <f>VLOOKUP(P50,A$45:$K49,2,FALSE)</f>
        <v>#N/A</v>
      </c>
      <c r="AB50" s="41" t="s">
        <v>268</v>
      </c>
      <c r="AC50" s="41" t="s">
        <v>1417</v>
      </c>
      <c r="AD50" s="41" t="s">
        <v>1479</v>
      </c>
      <c r="AE50" s="35" t="str">
        <f t="shared" si="0"/>
        <v>https://www.scimagojr.com/journalsearch.php?q=2079-9292</v>
      </c>
    </row>
    <row r="51" spans="1:31" ht="56" x14ac:dyDescent="0.15">
      <c r="P51" s="35" t="s">
        <v>1238</v>
      </c>
      <c r="Q51" t="s">
        <v>1053</v>
      </c>
      <c r="R51" t="s">
        <v>32</v>
      </c>
      <c r="S51">
        <v>176</v>
      </c>
      <c r="T51" t="s">
        <v>1240</v>
      </c>
      <c r="U51" t="e">
        <v>#N/A</v>
      </c>
      <c r="V51" t="e">
        <v>#N/A</v>
      </c>
      <c r="W51" t="e">
        <v>#N/A</v>
      </c>
      <c r="X51" s="35" t="e">
        <f>VLOOKUP(P51,A$45:$K50,2,FALSE)</f>
        <v>#N/A</v>
      </c>
      <c r="AB51" s="41" t="s">
        <v>770</v>
      </c>
      <c r="AC51" s="41" t="s">
        <v>1409</v>
      </c>
      <c r="AD51" s="41" t="s">
        <v>1613</v>
      </c>
      <c r="AE51" s="35" t="str">
        <f t="shared" si="0"/>
        <v>https://www.scimagojr.com/journalsearch.php?q=2073-431X</v>
      </c>
    </row>
    <row r="52" spans="1:31" ht="42" x14ac:dyDescent="0.15">
      <c r="P52" s="35" t="s">
        <v>456</v>
      </c>
      <c r="Q52" t="s">
        <v>321</v>
      </c>
      <c r="R52" t="s">
        <v>75</v>
      </c>
      <c r="S52">
        <v>142</v>
      </c>
      <c r="T52" t="s">
        <v>458</v>
      </c>
      <c r="U52" t="e">
        <v>#N/A</v>
      </c>
      <c r="V52" t="e">
        <v>#N/A</v>
      </c>
      <c r="W52" t="e">
        <v>#N/A</v>
      </c>
      <c r="X52" s="35" t="e">
        <f>VLOOKUP(P52,A$45:$K51,2,FALSE)</f>
        <v>#N/A</v>
      </c>
    </row>
    <row r="53" spans="1:31" ht="42" x14ac:dyDescent="0.15">
      <c r="P53" s="35" t="s">
        <v>420</v>
      </c>
      <c r="Q53" t="s">
        <v>321</v>
      </c>
      <c r="R53" t="s">
        <v>32</v>
      </c>
      <c r="S53">
        <v>124</v>
      </c>
      <c r="T53" t="s">
        <v>474</v>
      </c>
      <c r="U53" t="e">
        <v>#N/A</v>
      </c>
      <c r="V53" t="e">
        <v>#N/A</v>
      </c>
      <c r="W53" t="e">
        <v>#N/A</v>
      </c>
      <c r="X53" s="35" t="e">
        <f>VLOOKUP(P53,A$45:$K52,2,FALSE)</f>
        <v>#N/A</v>
      </c>
    </row>
    <row r="54" spans="1:31" ht="42" x14ac:dyDescent="0.15">
      <c r="P54" s="35" t="s">
        <v>1038</v>
      </c>
      <c r="Q54" t="s">
        <v>957</v>
      </c>
      <c r="R54" t="s">
        <v>75</v>
      </c>
      <c r="S54">
        <v>87</v>
      </c>
      <c r="T54" t="s">
        <v>1040</v>
      </c>
      <c r="U54" t="e">
        <v>#N/A</v>
      </c>
      <c r="V54" t="e">
        <v>#N/A</v>
      </c>
      <c r="W54" t="e">
        <v>#N/A</v>
      </c>
      <c r="X54" s="35" t="e">
        <f>VLOOKUP(P54,A$45:$K53,2,FALSE)</f>
        <v>#N/A</v>
      </c>
    </row>
    <row r="55" spans="1:31" ht="42" x14ac:dyDescent="0.15">
      <c r="P55" s="35" t="s">
        <v>143</v>
      </c>
      <c r="Q55" t="s">
        <v>321</v>
      </c>
      <c r="R55" t="s">
        <v>75</v>
      </c>
      <c r="S55">
        <v>80</v>
      </c>
      <c r="T55" t="s">
        <v>479</v>
      </c>
      <c r="U55" t="e">
        <v>#N/A</v>
      </c>
      <c r="V55" t="e">
        <v>#N/A</v>
      </c>
      <c r="W55" t="e">
        <v>#N/A</v>
      </c>
      <c r="X55" s="35" t="e">
        <f>VLOOKUP(P55,A$45:$K54,2,FALSE)</f>
        <v>#N/A</v>
      </c>
    </row>
    <row r="56" spans="1:31" ht="42" x14ac:dyDescent="0.15">
      <c r="P56" s="35" t="s">
        <v>559</v>
      </c>
      <c r="Q56" t="s">
        <v>321</v>
      </c>
      <c r="R56" t="s">
        <v>32</v>
      </c>
      <c r="S56">
        <v>71</v>
      </c>
      <c r="T56" t="s">
        <v>561</v>
      </c>
      <c r="U56" t="e">
        <v>#N/A</v>
      </c>
      <c r="V56" t="e">
        <v>#N/A</v>
      </c>
      <c r="W56" t="e">
        <v>#N/A</v>
      </c>
      <c r="X56" s="35" t="e">
        <f>VLOOKUP(P56,A$45:$K55,2,FALSE)</f>
        <v>#N/A</v>
      </c>
    </row>
    <row r="57" spans="1:31" ht="42" x14ac:dyDescent="0.15">
      <c r="P57" s="35" t="s">
        <v>532</v>
      </c>
      <c r="Q57" t="s">
        <v>321</v>
      </c>
      <c r="R57" t="s">
        <v>75</v>
      </c>
      <c r="S57">
        <v>68</v>
      </c>
      <c r="T57" t="s">
        <v>534</v>
      </c>
      <c r="U57" t="e">
        <v>#N/A</v>
      </c>
      <c r="V57" t="e">
        <v>#N/A</v>
      </c>
      <c r="W57" t="e">
        <v>#N/A</v>
      </c>
      <c r="X57" s="35" t="e">
        <f>VLOOKUP(P57,A$45:$K56,2,FALSE)</f>
        <v>#N/A</v>
      </c>
    </row>
    <row r="58" spans="1:31" ht="56" x14ac:dyDescent="0.15">
      <c r="P58" s="35" t="s">
        <v>222</v>
      </c>
      <c r="Q58" t="s">
        <v>155</v>
      </c>
      <c r="R58" t="s">
        <v>32</v>
      </c>
      <c r="S58">
        <v>62</v>
      </c>
      <c r="T58" t="s">
        <v>224</v>
      </c>
      <c r="U58" t="e">
        <v>#N/A</v>
      </c>
      <c r="V58" t="e">
        <v>#N/A</v>
      </c>
      <c r="W58" t="e">
        <v>#N/A</v>
      </c>
      <c r="X58" s="35" t="e">
        <f>VLOOKUP(P58,A$45:$K57,2,FALSE)</f>
        <v>#N/A</v>
      </c>
    </row>
    <row r="59" spans="1:31" ht="56" x14ac:dyDescent="0.15">
      <c r="P59" s="35" t="s">
        <v>1167</v>
      </c>
      <c r="Q59" t="s">
        <v>1053</v>
      </c>
      <c r="R59" t="s">
        <v>17</v>
      </c>
      <c r="S59">
        <v>57</v>
      </c>
      <c r="T59" t="s">
        <v>1168</v>
      </c>
      <c r="U59" t="e">
        <v>#N/A</v>
      </c>
      <c r="V59" t="e">
        <v>#N/A</v>
      </c>
      <c r="W59" t="e">
        <v>#N/A</v>
      </c>
      <c r="X59" s="35" t="e">
        <f>VLOOKUP(P59,A$45:$K58,2,FALSE)</f>
        <v>#N/A</v>
      </c>
    </row>
    <row r="60" spans="1:31" ht="42" x14ac:dyDescent="0.15">
      <c r="P60" s="35" t="s">
        <v>143</v>
      </c>
      <c r="Q60" t="s">
        <v>91</v>
      </c>
      <c r="R60" t="s">
        <v>32</v>
      </c>
      <c r="S60">
        <v>53</v>
      </c>
      <c r="T60" t="s">
        <v>145</v>
      </c>
      <c r="U60" t="e">
        <v>#N/A</v>
      </c>
      <c r="V60" t="e">
        <v>#N/A</v>
      </c>
      <c r="W60" t="e">
        <v>#N/A</v>
      </c>
      <c r="X60" s="35" t="e">
        <f>VLOOKUP(P60,A$45:$K59,2,FALSE)</f>
        <v>#N/A</v>
      </c>
    </row>
    <row r="61" spans="1:31" ht="42" x14ac:dyDescent="0.15">
      <c r="P61" s="35" t="s">
        <v>126</v>
      </c>
      <c r="Q61" t="s">
        <v>91</v>
      </c>
      <c r="R61" t="s">
        <v>75</v>
      </c>
      <c r="S61">
        <v>52</v>
      </c>
      <c r="T61" t="s">
        <v>133</v>
      </c>
      <c r="U61" t="e">
        <v>#N/A</v>
      </c>
      <c r="V61" t="e">
        <v>#N/A</v>
      </c>
      <c r="W61" t="e">
        <v>#N/A</v>
      </c>
      <c r="X61" s="35" t="e">
        <f>VLOOKUP(P61,A$45:$K60,2,FALSE)</f>
        <v>#N/A</v>
      </c>
    </row>
    <row r="62" spans="1:31" ht="42" x14ac:dyDescent="0.15">
      <c r="P62" s="35" t="s">
        <v>175</v>
      </c>
      <c r="Q62" t="s">
        <v>640</v>
      </c>
      <c r="R62" t="s">
        <v>32</v>
      </c>
      <c r="S62">
        <v>52</v>
      </c>
      <c r="T62" t="s">
        <v>818</v>
      </c>
      <c r="U62" t="e">
        <v>#N/A</v>
      </c>
      <c r="V62" t="e">
        <v>#N/A</v>
      </c>
      <c r="W62" t="e">
        <v>#N/A</v>
      </c>
      <c r="X62" s="35" t="e">
        <f>VLOOKUP(P62,A$45:$K61,2,FALSE)</f>
        <v>#N/A</v>
      </c>
    </row>
    <row r="63" spans="1:31" ht="42" x14ac:dyDescent="0.15">
      <c r="P63" s="35" t="s">
        <v>305</v>
      </c>
      <c r="Q63" t="s">
        <v>237</v>
      </c>
      <c r="R63" t="s">
        <v>32</v>
      </c>
      <c r="S63">
        <v>50</v>
      </c>
      <c r="T63" t="s">
        <v>307</v>
      </c>
      <c r="U63" t="e">
        <v>#N/A</v>
      </c>
      <c r="V63" t="e">
        <v>#N/A</v>
      </c>
      <c r="W63" t="e">
        <v>#N/A</v>
      </c>
      <c r="X63" s="35" t="e">
        <f>VLOOKUP(P63,A$45:$K62,2,FALSE)</f>
        <v>#N/A</v>
      </c>
    </row>
    <row r="64" spans="1:31" ht="42" x14ac:dyDescent="0.15">
      <c r="P64" s="35" t="s">
        <v>837</v>
      </c>
      <c r="Q64" t="s">
        <v>640</v>
      </c>
      <c r="R64" t="s">
        <v>32</v>
      </c>
      <c r="S64">
        <v>45</v>
      </c>
      <c r="T64" t="s">
        <v>838</v>
      </c>
      <c r="U64" t="e">
        <v>#N/A</v>
      </c>
      <c r="V64" t="e">
        <v>#N/A</v>
      </c>
      <c r="W64" t="e">
        <v>#N/A</v>
      </c>
      <c r="X64" s="35" t="e">
        <f>VLOOKUP(P64,A$45:$K63,2,FALSE)</f>
        <v>#N/A</v>
      </c>
    </row>
    <row r="65" spans="16:24" ht="56" x14ac:dyDescent="0.15">
      <c r="P65" s="35" t="s">
        <v>203</v>
      </c>
      <c r="Q65" t="s">
        <v>155</v>
      </c>
      <c r="R65" t="s">
        <v>32</v>
      </c>
      <c r="S65">
        <v>33</v>
      </c>
      <c r="T65" t="s">
        <v>205</v>
      </c>
      <c r="U65" t="e">
        <v>#N/A</v>
      </c>
      <c r="V65" t="e">
        <v>#N/A</v>
      </c>
      <c r="W65" t="e">
        <v>#N/A</v>
      </c>
      <c r="X65" s="35" t="e">
        <f>VLOOKUP(P65,A$45:$K64,2,FALSE)</f>
        <v>#N/A</v>
      </c>
    </row>
    <row r="66" spans="16:24" ht="42" x14ac:dyDescent="0.15">
      <c r="P66" s="35" t="s">
        <v>126</v>
      </c>
      <c r="Q66" t="s">
        <v>1053</v>
      </c>
      <c r="R66" t="s">
        <v>75</v>
      </c>
      <c r="S66">
        <v>32</v>
      </c>
      <c r="T66" t="s">
        <v>1229</v>
      </c>
      <c r="U66" t="e">
        <v>#N/A</v>
      </c>
      <c r="V66" t="e">
        <v>#N/A</v>
      </c>
      <c r="W66" t="e">
        <v>#N/A</v>
      </c>
      <c r="X66" s="35" t="e">
        <f>VLOOKUP(P66,A$45:$K65,2,FALSE)</f>
        <v>#N/A</v>
      </c>
    </row>
    <row r="67" spans="16:24" ht="56" x14ac:dyDescent="0.15">
      <c r="P67" s="35" t="s">
        <v>175</v>
      </c>
      <c r="Q67" t="s">
        <v>155</v>
      </c>
      <c r="R67" t="s">
        <v>32</v>
      </c>
      <c r="S67">
        <v>31</v>
      </c>
      <c r="T67" t="s">
        <v>177</v>
      </c>
      <c r="U67" t="e">
        <v>#N/A</v>
      </c>
      <c r="V67" t="e">
        <v>#N/A</v>
      </c>
      <c r="W67" t="e">
        <v>#N/A</v>
      </c>
      <c r="X67" s="35" t="e">
        <f>VLOOKUP(P67,A$45:$K66,2,FALSE)</f>
        <v>#N/A</v>
      </c>
    </row>
    <row r="68" spans="16:24" ht="56" x14ac:dyDescent="0.15">
      <c r="P68" s="35" t="s">
        <v>1172</v>
      </c>
      <c r="Q68" t="s">
        <v>1053</v>
      </c>
      <c r="R68" t="s">
        <v>17</v>
      </c>
      <c r="S68">
        <v>28</v>
      </c>
      <c r="T68" t="s">
        <v>1174</v>
      </c>
      <c r="U68" t="e">
        <v>#N/A</v>
      </c>
      <c r="V68" t="e">
        <v>#N/A</v>
      </c>
      <c r="W68" t="e">
        <v>#N/A</v>
      </c>
      <c r="X68" s="35" t="e">
        <f>VLOOKUP(P68,A$45:$K67,2,FALSE)</f>
        <v>#N/A</v>
      </c>
    </row>
    <row r="69" spans="16:24" ht="56" x14ac:dyDescent="0.15">
      <c r="P69" s="35" t="s">
        <v>770</v>
      </c>
      <c r="Q69" t="s">
        <v>1053</v>
      </c>
      <c r="R69" t="s">
        <v>75</v>
      </c>
      <c r="S69">
        <v>27</v>
      </c>
      <c r="T69" t="s">
        <v>1105</v>
      </c>
      <c r="U69" t="e">
        <v>#N/A</v>
      </c>
      <c r="V69" t="e">
        <v>#N/A</v>
      </c>
      <c r="W69" t="e">
        <v>#N/A</v>
      </c>
      <c r="X69" s="35">
        <f>VLOOKUP(P69,A$45:$K68,2,FALSE)</f>
        <v>9.1</v>
      </c>
    </row>
    <row r="70" spans="16:24" ht="56" x14ac:dyDescent="0.15">
      <c r="P70" s="35" t="s">
        <v>187</v>
      </c>
      <c r="Q70" t="s">
        <v>155</v>
      </c>
      <c r="R70" t="s">
        <v>32</v>
      </c>
      <c r="S70">
        <v>24</v>
      </c>
      <c r="T70" t="s">
        <v>189</v>
      </c>
      <c r="U70" t="e">
        <v>#N/A</v>
      </c>
      <c r="V70" t="e">
        <v>#N/A</v>
      </c>
      <c r="W70" t="e">
        <v>#N/A</v>
      </c>
      <c r="X70" s="35" t="e">
        <f>VLOOKUP(P70,A$45:$K69,2,FALSE)</f>
        <v>#N/A</v>
      </c>
    </row>
    <row r="71" spans="16:24" ht="42" x14ac:dyDescent="0.15">
      <c r="P71" s="35" t="s">
        <v>1112</v>
      </c>
      <c r="Q71" t="s">
        <v>1053</v>
      </c>
      <c r="R71" t="s">
        <v>17</v>
      </c>
      <c r="S71">
        <v>24</v>
      </c>
      <c r="T71" t="s">
        <v>1113</v>
      </c>
      <c r="U71" t="e">
        <v>#N/A</v>
      </c>
      <c r="V71" t="e">
        <v>#N/A</v>
      </c>
      <c r="W71" t="e">
        <v>#N/A</v>
      </c>
      <c r="X71" s="35" t="e">
        <f>VLOOKUP(P71,A$45:$K70,2,FALSE)</f>
        <v>#N/A</v>
      </c>
    </row>
    <row r="72" spans="16:24" ht="42" x14ac:dyDescent="0.15">
      <c r="P72" s="35" t="s">
        <v>883</v>
      </c>
      <c r="Q72" t="s">
        <v>640</v>
      </c>
      <c r="R72" t="s">
        <v>75</v>
      </c>
      <c r="S72">
        <v>22</v>
      </c>
      <c r="T72" t="s">
        <v>885</v>
      </c>
      <c r="U72" t="e">
        <v>#N/A</v>
      </c>
      <c r="V72" t="e">
        <v>#N/A</v>
      </c>
      <c r="W72" t="e">
        <v>#N/A</v>
      </c>
      <c r="X72" s="35" t="e">
        <f>VLOOKUP(P72,A$45:$K71,2,FALSE)</f>
        <v>#N/A</v>
      </c>
    </row>
    <row r="73" spans="16:24" ht="42" x14ac:dyDescent="0.15">
      <c r="P73" s="35" t="s">
        <v>126</v>
      </c>
      <c r="Q73" t="s">
        <v>91</v>
      </c>
      <c r="R73" t="s">
        <v>75</v>
      </c>
      <c r="S73">
        <v>19</v>
      </c>
      <c r="T73" t="s">
        <v>128</v>
      </c>
      <c r="U73" t="e">
        <v>#N/A</v>
      </c>
      <c r="V73" t="e">
        <v>#N/A</v>
      </c>
      <c r="W73" t="e">
        <v>#N/A</v>
      </c>
      <c r="X73" s="35" t="e">
        <f>VLOOKUP(P73,A$45:$K72,2,FALSE)</f>
        <v>#N/A</v>
      </c>
    </row>
    <row r="74" spans="16:24" ht="42" x14ac:dyDescent="0.15">
      <c r="P74" s="35" t="s">
        <v>606</v>
      </c>
      <c r="Q74" t="s">
        <v>599</v>
      </c>
      <c r="R74" t="s">
        <v>75</v>
      </c>
      <c r="S74">
        <v>18</v>
      </c>
      <c r="T74" t="s">
        <v>608</v>
      </c>
      <c r="U74" t="e">
        <v>#N/A</v>
      </c>
      <c r="V74" t="e">
        <v>#N/A</v>
      </c>
      <c r="W74" t="e">
        <v>#N/A</v>
      </c>
      <c r="X74" s="35" t="e">
        <f>VLOOKUP(P74,A$45:$K73,2,FALSE)</f>
        <v>#N/A</v>
      </c>
    </row>
    <row r="75" spans="16:24" ht="42" x14ac:dyDescent="0.15">
      <c r="P75" s="35" t="s">
        <v>483</v>
      </c>
      <c r="Q75" t="s">
        <v>321</v>
      </c>
      <c r="R75" t="s">
        <v>75</v>
      </c>
      <c r="S75">
        <v>17</v>
      </c>
      <c r="T75" t="s">
        <v>485</v>
      </c>
      <c r="U75" t="e">
        <v>#N/A</v>
      </c>
      <c r="V75" t="e">
        <v>#N/A</v>
      </c>
      <c r="W75" t="e">
        <v>#N/A</v>
      </c>
      <c r="X75" s="35" t="e">
        <f>VLOOKUP(P75,A$45:$K74,2,FALSE)</f>
        <v>#N/A</v>
      </c>
    </row>
    <row r="76" spans="16:24" ht="56" x14ac:dyDescent="0.15">
      <c r="P76" s="35" t="s">
        <v>789</v>
      </c>
      <c r="Q76" t="s">
        <v>640</v>
      </c>
      <c r="R76" t="s">
        <v>17</v>
      </c>
      <c r="S76">
        <v>16</v>
      </c>
      <c r="T76" t="s">
        <v>790</v>
      </c>
      <c r="U76" t="e">
        <v>#N/A</v>
      </c>
      <c r="V76" t="e">
        <v>#N/A</v>
      </c>
      <c r="W76" t="e">
        <v>#N/A</v>
      </c>
      <c r="X76" s="35" t="e">
        <f>VLOOKUP(P76,A$45:$K75,2,FALSE)</f>
        <v>#N/A</v>
      </c>
    </row>
    <row r="77" spans="16:24" ht="56" x14ac:dyDescent="0.15">
      <c r="P77" s="35" t="s">
        <v>770</v>
      </c>
      <c r="Q77" t="s">
        <v>640</v>
      </c>
      <c r="R77" t="s">
        <v>75</v>
      </c>
      <c r="S77">
        <v>16</v>
      </c>
      <c r="T77" t="s">
        <v>772</v>
      </c>
      <c r="U77" t="e">
        <v>#N/A</v>
      </c>
      <c r="V77" t="e">
        <v>#N/A</v>
      </c>
      <c r="W77" t="e">
        <v>#N/A</v>
      </c>
      <c r="X77" s="35">
        <f>VLOOKUP(P77,A$45:$K76,2,FALSE)</f>
        <v>9.1</v>
      </c>
    </row>
    <row r="78" spans="16:24" ht="42" x14ac:dyDescent="0.15">
      <c r="P78" s="35" t="s">
        <v>414</v>
      </c>
      <c r="Q78" t="s">
        <v>321</v>
      </c>
      <c r="R78" t="s">
        <v>75</v>
      </c>
      <c r="S78">
        <v>12</v>
      </c>
      <c r="T78" t="s">
        <v>416</v>
      </c>
      <c r="U78" t="e">
        <v>#N/A</v>
      </c>
      <c r="V78" t="e">
        <v>#N/A</v>
      </c>
      <c r="W78" t="e">
        <v>#N/A</v>
      </c>
      <c r="X78" s="35" t="e">
        <f>VLOOKUP(P78,A$45:$K77,2,FALSE)</f>
        <v>#N/A</v>
      </c>
    </row>
    <row r="79" spans="16:24" ht="42" x14ac:dyDescent="0.15">
      <c r="P79" s="35" t="s">
        <v>742</v>
      </c>
      <c r="Q79" t="s">
        <v>640</v>
      </c>
      <c r="R79" t="s">
        <v>17</v>
      </c>
      <c r="S79">
        <v>11</v>
      </c>
      <c r="T79" t="s">
        <v>743</v>
      </c>
      <c r="U79" t="e">
        <v>#N/A</v>
      </c>
      <c r="V79" t="e">
        <v>#N/A</v>
      </c>
      <c r="W79" t="e">
        <v>#N/A</v>
      </c>
      <c r="X79" s="35" t="e">
        <f>VLOOKUP(P79,A$45:$K78,2,FALSE)</f>
        <v>#N/A</v>
      </c>
    </row>
    <row r="80" spans="16:24" ht="42" x14ac:dyDescent="0.15">
      <c r="P80" s="35" t="s">
        <v>420</v>
      </c>
      <c r="Q80" t="s">
        <v>1053</v>
      </c>
      <c r="R80" t="s">
        <v>75</v>
      </c>
      <c r="S80">
        <v>11</v>
      </c>
      <c r="T80" t="s">
        <v>1160</v>
      </c>
      <c r="U80" t="e">
        <v>#N/A</v>
      </c>
      <c r="V80" t="e">
        <v>#N/A</v>
      </c>
      <c r="W80" t="e">
        <v>#N/A</v>
      </c>
      <c r="X80" s="35" t="e">
        <f>VLOOKUP(P80,A$45:$K79,2,FALSE)</f>
        <v>#N/A</v>
      </c>
    </row>
    <row r="81" spans="16:24" ht="42" x14ac:dyDescent="0.15">
      <c r="P81" s="35" t="s">
        <v>737</v>
      </c>
      <c r="Q81" t="s">
        <v>640</v>
      </c>
      <c r="R81" t="s">
        <v>75</v>
      </c>
      <c r="S81">
        <v>10</v>
      </c>
      <c r="T81" t="s">
        <v>738</v>
      </c>
      <c r="U81" t="e">
        <v>#N/A</v>
      </c>
      <c r="V81" t="e">
        <v>#N/A</v>
      </c>
      <c r="W81" t="e">
        <v>#N/A</v>
      </c>
      <c r="X81" s="35" t="e">
        <f>VLOOKUP(P81,A$45:$K80,2,FALSE)</f>
        <v>#N/A</v>
      </c>
    </row>
    <row r="82" spans="16:24" ht="42" x14ac:dyDescent="0.15">
      <c r="P82" s="35" t="s">
        <v>1233</v>
      </c>
      <c r="Q82" t="s">
        <v>1053</v>
      </c>
      <c r="R82" t="s">
        <v>32</v>
      </c>
      <c r="S82">
        <v>9</v>
      </c>
      <c r="T82" t="s">
        <v>1234</v>
      </c>
      <c r="U82" t="e">
        <v>#N/A</v>
      </c>
      <c r="V82" t="e">
        <v>#N/A</v>
      </c>
      <c r="W82" t="e">
        <v>#N/A</v>
      </c>
      <c r="X82" s="35" t="e">
        <f>VLOOKUP(P82,A$45:$K81,2,FALSE)</f>
        <v>#N/A</v>
      </c>
    </row>
    <row r="83" spans="16:24" ht="42" x14ac:dyDescent="0.15">
      <c r="P83" s="35" t="s">
        <v>294</v>
      </c>
      <c r="Q83" t="s">
        <v>237</v>
      </c>
      <c r="R83" t="s">
        <v>75</v>
      </c>
      <c r="S83">
        <v>7</v>
      </c>
      <c r="T83" t="s">
        <v>295</v>
      </c>
      <c r="U83" t="e">
        <v>#N/A</v>
      </c>
      <c r="V83" t="e">
        <v>#N/A</v>
      </c>
      <c r="W83" t="e">
        <v>#N/A</v>
      </c>
      <c r="X83" s="35" t="e">
        <f>VLOOKUP(P83,A$45:$K82,2,FALSE)</f>
        <v>#N/A</v>
      </c>
    </row>
    <row r="84" spans="16:24" ht="42" x14ac:dyDescent="0.15">
      <c r="P84" s="35" t="s">
        <v>1187</v>
      </c>
      <c r="Q84" t="s">
        <v>1053</v>
      </c>
      <c r="R84" t="s">
        <v>32</v>
      </c>
      <c r="S84">
        <v>7</v>
      </c>
      <c r="T84" t="s">
        <v>1188</v>
      </c>
      <c r="U84" t="e">
        <v>#N/A</v>
      </c>
      <c r="V84" t="e">
        <v>#N/A</v>
      </c>
      <c r="W84" t="e">
        <v>#N/A</v>
      </c>
      <c r="X84" s="35" t="e">
        <f>VLOOKUP(P84,A$45:$K83,2,FALSE)</f>
        <v>#N/A</v>
      </c>
    </row>
    <row r="85" spans="16:24" ht="56" x14ac:dyDescent="0.15">
      <c r="P85" s="35" t="s">
        <v>169</v>
      </c>
      <c r="Q85" t="s">
        <v>155</v>
      </c>
      <c r="R85" t="s">
        <v>32</v>
      </c>
      <c r="S85">
        <v>6</v>
      </c>
      <c r="T85" t="s">
        <v>171</v>
      </c>
      <c r="U85" t="e">
        <v>#N/A</v>
      </c>
      <c r="V85" t="e">
        <v>#N/A</v>
      </c>
      <c r="W85" t="e">
        <v>#N/A</v>
      </c>
      <c r="X85" s="35" t="e">
        <f>VLOOKUP(P85,A$45:$K84,2,FALSE)</f>
        <v>#N/A</v>
      </c>
    </row>
    <row r="86" spans="16:24" ht="42" x14ac:dyDescent="0.15">
      <c r="P86" s="35" t="s">
        <v>441</v>
      </c>
      <c r="Q86" t="s">
        <v>321</v>
      </c>
      <c r="R86" t="s">
        <v>75</v>
      </c>
      <c r="S86">
        <v>6</v>
      </c>
      <c r="T86" t="s">
        <v>442</v>
      </c>
      <c r="U86" t="e">
        <v>#N/A</v>
      </c>
      <c r="V86" t="e">
        <v>#N/A</v>
      </c>
      <c r="W86" t="e">
        <v>#N/A</v>
      </c>
      <c r="X86" s="35" t="e">
        <f>VLOOKUP(P86,A$45:$K85,2,FALSE)</f>
        <v>#N/A</v>
      </c>
    </row>
    <row r="87" spans="16:24" ht="42" x14ac:dyDescent="0.15">
      <c r="P87" s="35" t="s">
        <v>1022</v>
      </c>
      <c r="Q87" t="s">
        <v>957</v>
      </c>
      <c r="R87" t="s">
        <v>75</v>
      </c>
      <c r="S87">
        <v>6</v>
      </c>
      <c r="T87" t="s">
        <v>1023</v>
      </c>
      <c r="U87" t="e">
        <v>#N/A</v>
      </c>
      <c r="V87" t="e">
        <v>#N/A</v>
      </c>
      <c r="W87" t="e">
        <v>#N/A</v>
      </c>
      <c r="X87" s="35" t="e">
        <f>VLOOKUP(P87,A$45:$K86,2,FALSE)</f>
        <v>#N/A</v>
      </c>
    </row>
    <row r="88" spans="16:24" ht="56" x14ac:dyDescent="0.15">
      <c r="P88" s="35" t="s">
        <v>988</v>
      </c>
      <c r="Q88" t="s">
        <v>957</v>
      </c>
      <c r="R88" t="s">
        <v>75</v>
      </c>
      <c r="S88">
        <v>4</v>
      </c>
      <c r="T88" t="s">
        <v>989</v>
      </c>
      <c r="U88" t="e">
        <v>#N/A</v>
      </c>
      <c r="V88" t="e">
        <v>#N/A</v>
      </c>
      <c r="W88" t="e">
        <v>#N/A</v>
      </c>
      <c r="X88" s="35" t="e">
        <f>VLOOKUP(P88,A$45:$K87,2,FALSE)</f>
        <v>#N/A</v>
      </c>
    </row>
    <row r="89" spans="16:24" ht="42" x14ac:dyDescent="0.15">
      <c r="P89" s="35" t="s">
        <v>622</v>
      </c>
      <c r="Q89" t="s">
        <v>599</v>
      </c>
      <c r="R89" t="s">
        <v>32</v>
      </c>
      <c r="S89">
        <v>3</v>
      </c>
      <c r="T89" t="s">
        <v>623</v>
      </c>
      <c r="U89" t="e">
        <v>#N/A</v>
      </c>
      <c r="V89" t="e">
        <v>#N/A</v>
      </c>
      <c r="W89" t="e">
        <v>#N/A</v>
      </c>
      <c r="X89" s="35" t="e">
        <f>VLOOKUP(P89,A$45:$K88,2,FALSE)</f>
        <v>#N/A</v>
      </c>
    </row>
    <row r="90" spans="16:24" ht="42" x14ac:dyDescent="0.15">
      <c r="P90" s="35" t="s">
        <v>659</v>
      </c>
      <c r="Q90" t="s">
        <v>640</v>
      </c>
      <c r="R90" t="s">
        <v>75</v>
      </c>
      <c r="S90">
        <v>1</v>
      </c>
      <c r="T90" t="s">
        <v>661</v>
      </c>
      <c r="U90" t="e">
        <v>#N/A</v>
      </c>
      <c r="V90" t="e">
        <v>#N/A</v>
      </c>
      <c r="W90" t="e">
        <v>#N/A</v>
      </c>
      <c r="X90" s="35" t="e">
        <f>VLOOKUP(P90,A$45:$K89,2,FALSE)</f>
        <v>#N/A</v>
      </c>
    </row>
    <row r="91" spans="16:24" ht="42" x14ac:dyDescent="0.15">
      <c r="P91" s="35" t="s">
        <v>105</v>
      </c>
      <c r="Q91" t="s">
        <v>91</v>
      </c>
      <c r="R91" t="s">
        <v>32</v>
      </c>
      <c r="S91"/>
      <c r="T91" t="s">
        <v>106</v>
      </c>
      <c r="U91" t="e">
        <v>#N/A</v>
      </c>
      <c r="V91" t="e">
        <v>#N/A</v>
      </c>
      <c r="W91" t="e">
        <v>#N/A</v>
      </c>
      <c r="X91" s="35" t="e">
        <f>VLOOKUP(P91,A$45:$K90,2,FALSE)</f>
        <v>#N/A</v>
      </c>
    </row>
    <row r="92" spans="16:24" ht="70" x14ac:dyDescent="0.15">
      <c r="P92" s="35" t="s">
        <v>212</v>
      </c>
      <c r="Q92" t="s">
        <v>155</v>
      </c>
      <c r="R92" t="s">
        <v>32</v>
      </c>
      <c r="S92"/>
      <c r="T92" t="s">
        <v>213</v>
      </c>
      <c r="U92" t="e">
        <v>#N/A</v>
      </c>
      <c r="V92" t="e">
        <v>#N/A</v>
      </c>
      <c r="W92" t="e">
        <v>#N/A</v>
      </c>
      <c r="X92" s="35" t="e">
        <f>VLOOKUP(P92,A$45:$K91,2,FALSE)</f>
        <v>#N/A</v>
      </c>
    </row>
    <row r="93" spans="16:24" ht="56" x14ac:dyDescent="0.15">
      <c r="P93" s="35" t="s">
        <v>217</v>
      </c>
      <c r="Q93" t="s">
        <v>155</v>
      </c>
      <c r="R93" t="s">
        <v>75</v>
      </c>
      <c r="S93"/>
      <c r="T93" t="s">
        <v>218</v>
      </c>
      <c r="U93" t="e">
        <v>#N/A</v>
      </c>
      <c r="V93" t="e">
        <v>#N/A</v>
      </c>
      <c r="W93" t="e">
        <v>#N/A</v>
      </c>
      <c r="X93" s="35" t="e">
        <f>VLOOKUP(P93,A$45:$K92,2,FALSE)</f>
        <v>#N/A</v>
      </c>
    </row>
    <row r="94" spans="16:24" ht="56" x14ac:dyDescent="0.15">
      <c r="P94" s="35" t="s">
        <v>343</v>
      </c>
      <c r="Q94" t="s">
        <v>321</v>
      </c>
      <c r="R94" t="s">
        <v>75</v>
      </c>
      <c r="S94"/>
      <c r="T94" t="s">
        <v>344</v>
      </c>
      <c r="U94" t="e">
        <v>#N/A</v>
      </c>
      <c r="V94" t="e">
        <v>#N/A</v>
      </c>
      <c r="W94" t="e">
        <v>#N/A</v>
      </c>
      <c r="X94" s="35" t="e">
        <f>VLOOKUP(P94,A$45:$K93,2,FALSE)</f>
        <v>#N/A</v>
      </c>
    </row>
    <row r="95" spans="16:24" ht="42" x14ac:dyDescent="0.15">
      <c r="P95" s="35" t="s">
        <v>942</v>
      </c>
      <c r="Q95" t="s">
        <v>640</v>
      </c>
      <c r="R95" t="s">
        <v>32</v>
      </c>
      <c r="S95"/>
      <c r="T95" t="s">
        <v>943</v>
      </c>
      <c r="U95" t="e">
        <v>#N/A</v>
      </c>
      <c r="V95" t="e">
        <v>#N/A</v>
      </c>
      <c r="W95" t="e">
        <v>#N/A</v>
      </c>
      <c r="X95" s="35" t="e">
        <f>VLOOKUP(P95,A$45:$K94,2,FALSE)</f>
        <v>#N/A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29958-1D0D-EB46-94C0-56D831FDDD92}">
  <dimension ref="A1:G47"/>
  <sheetViews>
    <sheetView workbookViewId="0">
      <selection activeCell="D1" sqref="D1:G47"/>
    </sheetView>
  </sheetViews>
  <sheetFormatPr baseColWidth="10" defaultRowHeight="13" x14ac:dyDescent="0.15"/>
  <cols>
    <col min="1" max="1" width="34.1640625" customWidth="1"/>
    <col min="5" max="5" width="50.83203125" bestFit="1" customWidth="1"/>
    <col min="6" max="6" width="16.83203125" customWidth="1"/>
    <col min="7" max="7" width="48.6640625" bestFit="1" customWidth="1"/>
  </cols>
  <sheetData>
    <row r="1" spans="1:7" ht="14" x14ac:dyDescent="0.15">
      <c r="A1" s="31"/>
      <c r="D1" s="31" t="s">
        <v>1608</v>
      </c>
      <c r="E1" s="31" t="s">
        <v>1395</v>
      </c>
      <c r="F1" s="31" t="s">
        <v>1508</v>
      </c>
      <c r="G1" s="31" t="s">
        <v>1609</v>
      </c>
    </row>
    <row r="2" spans="1:7" ht="14" x14ac:dyDescent="0.15">
      <c r="C2">
        <v>1</v>
      </c>
      <c r="D2" t="s">
        <v>1574</v>
      </c>
      <c r="E2" s="31" t="s">
        <v>1535</v>
      </c>
      <c r="F2" s="31" t="s">
        <v>1409</v>
      </c>
      <c r="G2" t="str">
        <f>CONCATENATE("https://www.scimagojr.com/journalsearch.php?q=",D2)</f>
        <v>https://www.scimagojr.com/journalsearch.php?q=0098-5589</v>
      </c>
    </row>
    <row r="3" spans="1:7" ht="14" x14ac:dyDescent="0.15">
      <c r="C3">
        <v>2</v>
      </c>
      <c r="D3" t="s">
        <v>1464</v>
      </c>
      <c r="E3" s="31" t="s">
        <v>1266</v>
      </c>
      <c r="F3" s="31" t="s">
        <v>1409</v>
      </c>
      <c r="G3" t="str">
        <f t="shared" ref="G3:G47" si="0">CONCATENATE("https://www.scimagojr.com/journalsearch.php?q=",D3)</f>
        <v>https://www.scimagojr.com/journalsearch.php?q=2045-2322</v>
      </c>
    </row>
    <row r="4" spans="1:7" ht="14" x14ac:dyDescent="0.15">
      <c r="C4">
        <v>3</v>
      </c>
      <c r="D4" t="s">
        <v>1575</v>
      </c>
      <c r="E4" s="31" t="s">
        <v>1559</v>
      </c>
      <c r="F4" s="31" t="s">
        <v>1417</v>
      </c>
      <c r="G4" t="str">
        <f t="shared" si="0"/>
        <v>https://www.scimagojr.com/journalsearch.php?q=1387-2532</v>
      </c>
    </row>
    <row r="5" spans="1:7" ht="14" x14ac:dyDescent="0.15">
      <c r="C5">
        <v>4</v>
      </c>
      <c r="D5" t="s">
        <v>1576</v>
      </c>
      <c r="E5" s="31" t="s">
        <v>1553</v>
      </c>
      <c r="F5" s="31" t="s">
        <v>1409</v>
      </c>
      <c r="G5" t="str">
        <f t="shared" si="0"/>
        <v>https://www.scimagojr.com/journalsearch.php?q=2644-1330</v>
      </c>
    </row>
    <row r="6" spans="1:7" ht="14" x14ac:dyDescent="0.15">
      <c r="C6">
        <v>5</v>
      </c>
      <c r="D6" t="s">
        <v>1577</v>
      </c>
      <c r="E6" s="31" t="s">
        <v>659</v>
      </c>
      <c r="F6" s="31" t="s">
        <v>1417</v>
      </c>
      <c r="G6" t="str">
        <f t="shared" si="0"/>
        <v>https://www.scimagojr.com/journalsearch.php?q=2224-2708</v>
      </c>
    </row>
    <row r="7" spans="1:7" ht="14" x14ac:dyDescent="0.15">
      <c r="C7">
        <v>6</v>
      </c>
      <c r="D7" t="s">
        <v>1578</v>
      </c>
      <c r="E7" s="31" t="s">
        <v>1571</v>
      </c>
      <c r="F7" s="31" t="s">
        <v>1606</v>
      </c>
      <c r="G7" t="str">
        <f t="shared" si="0"/>
        <v>https://www.scimagojr.com/journalsearch.php?q=0948-695X</v>
      </c>
    </row>
    <row r="8" spans="1:7" ht="14" x14ac:dyDescent="0.15">
      <c r="C8">
        <v>7</v>
      </c>
      <c r="D8" t="s">
        <v>1579</v>
      </c>
      <c r="E8" s="31" t="s">
        <v>441</v>
      </c>
      <c r="F8" s="31" t="s">
        <v>1607</v>
      </c>
      <c r="G8" t="str">
        <f t="shared" si="0"/>
        <v>https://www.scimagojr.com/journalsearch.php?q=1687-5265</v>
      </c>
    </row>
    <row r="9" spans="1:7" ht="14" x14ac:dyDescent="0.15">
      <c r="C9">
        <v>8</v>
      </c>
      <c r="D9" t="s">
        <v>1580</v>
      </c>
      <c r="E9" s="31" t="s">
        <v>1556</v>
      </c>
      <c r="F9" s="31" t="s">
        <v>1409</v>
      </c>
      <c r="G9" t="str">
        <f t="shared" si="0"/>
        <v>https://www.scimagojr.com/journalsearch.php?q=1435-5558</v>
      </c>
    </row>
    <row r="10" spans="1:7" ht="14" x14ac:dyDescent="0.15">
      <c r="C10">
        <v>9</v>
      </c>
      <c r="D10" t="s">
        <v>1581</v>
      </c>
      <c r="E10" s="31" t="s">
        <v>294</v>
      </c>
      <c r="F10" s="31" t="s">
        <v>1417</v>
      </c>
      <c r="G10" t="str">
        <f t="shared" si="0"/>
        <v>https://www.scimagojr.com/journalsearch.php?q=0748-8017</v>
      </c>
    </row>
    <row r="11" spans="1:7" ht="14" x14ac:dyDescent="0.15">
      <c r="C11">
        <v>10</v>
      </c>
      <c r="D11" t="s">
        <v>1582</v>
      </c>
      <c r="E11" s="31" t="s">
        <v>737</v>
      </c>
      <c r="F11" s="31" t="s">
        <v>1607</v>
      </c>
      <c r="G11" t="str">
        <f t="shared" si="0"/>
        <v>https://www.scimagojr.com/journalsearch.php?q=2576-0017</v>
      </c>
    </row>
    <row r="12" spans="1:7" ht="14" x14ac:dyDescent="0.15">
      <c r="C12">
        <v>11</v>
      </c>
      <c r="D12" t="s">
        <v>1474</v>
      </c>
      <c r="E12" s="31" t="s">
        <v>742</v>
      </c>
      <c r="F12" s="31" t="s">
        <v>1409</v>
      </c>
      <c r="G12" t="str">
        <f t="shared" si="0"/>
        <v>https://www.scimagojr.com/journalsearch.php?q=2667-3053</v>
      </c>
    </row>
    <row r="13" spans="1:7" ht="14" x14ac:dyDescent="0.15">
      <c r="C13">
        <v>12</v>
      </c>
      <c r="D13" t="s">
        <v>1583</v>
      </c>
      <c r="E13" s="31" t="s">
        <v>789</v>
      </c>
      <c r="F13" s="31" t="s">
        <v>1607</v>
      </c>
      <c r="G13" t="str">
        <f t="shared" si="0"/>
        <v>https://www.scimagojr.com/journalsearch.php?q=1521-1398</v>
      </c>
    </row>
    <row r="14" spans="1:7" ht="14" x14ac:dyDescent="0.15">
      <c r="C14">
        <v>13</v>
      </c>
      <c r="D14" t="s">
        <v>1584</v>
      </c>
      <c r="E14" s="31" t="s">
        <v>414</v>
      </c>
      <c r="F14" s="31" t="s">
        <v>1417</v>
      </c>
      <c r="G14" t="str">
        <f t="shared" si="0"/>
        <v>https://www.scimagojr.com/journalsearch.php?q=0824-7935</v>
      </c>
    </row>
    <row r="15" spans="1:7" ht="14" x14ac:dyDescent="0.15">
      <c r="C15">
        <v>14</v>
      </c>
      <c r="D15" t="s">
        <v>1585</v>
      </c>
      <c r="E15" s="31" t="s">
        <v>606</v>
      </c>
      <c r="F15" s="31" t="s">
        <v>1417</v>
      </c>
      <c r="G15" t="str">
        <f t="shared" si="0"/>
        <v>https://www.scimagojr.com/journalsearch.php?q=2227-9717</v>
      </c>
    </row>
    <row r="16" spans="1:7" ht="14" x14ac:dyDescent="0.15">
      <c r="C16">
        <v>15</v>
      </c>
      <c r="D16" t="s">
        <v>1450</v>
      </c>
      <c r="E16" s="31" t="s">
        <v>883</v>
      </c>
      <c r="F16" s="31" t="s">
        <v>1409</v>
      </c>
      <c r="G16" t="str">
        <f t="shared" si="0"/>
        <v>https://www.scimagojr.com/journalsearch.php?q=0164-1212</v>
      </c>
    </row>
    <row r="17" spans="3:7" ht="14" x14ac:dyDescent="0.15">
      <c r="C17">
        <v>16</v>
      </c>
      <c r="D17" t="s">
        <v>1586</v>
      </c>
      <c r="E17" s="31" t="s">
        <v>1112</v>
      </c>
      <c r="F17" s="31" t="s">
        <v>1409</v>
      </c>
      <c r="G17" t="str">
        <f t="shared" si="0"/>
        <v>https://www.scimagojr.com/journalsearch.php?q=2624-800X</v>
      </c>
    </row>
    <row r="18" spans="3:7" ht="14" x14ac:dyDescent="0.15">
      <c r="C18">
        <v>17</v>
      </c>
      <c r="D18" t="s">
        <v>1587</v>
      </c>
      <c r="E18" s="31" t="s">
        <v>1172</v>
      </c>
      <c r="F18" s="31" t="s">
        <v>1409</v>
      </c>
      <c r="G18" t="str">
        <f t="shared" si="0"/>
        <v>https://www.scimagojr.com/journalsearch.php?q=0269-2821</v>
      </c>
    </row>
    <row r="19" spans="3:7" ht="14" x14ac:dyDescent="0.15">
      <c r="C19">
        <v>18</v>
      </c>
      <c r="D19" t="s">
        <v>1588</v>
      </c>
      <c r="E19" s="31" t="s">
        <v>203</v>
      </c>
      <c r="F19" s="31" t="s">
        <v>1409</v>
      </c>
      <c r="G19" t="str">
        <f t="shared" si="0"/>
        <v>https://www.scimagojr.com/journalsearch.php?q=1524-9050</v>
      </c>
    </row>
    <row r="20" spans="3:7" ht="14" x14ac:dyDescent="0.15">
      <c r="C20">
        <v>19</v>
      </c>
      <c r="D20" t="s">
        <v>1589</v>
      </c>
      <c r="E20" s="31" t="s">
        <v>305</v>
      </c>
      <c r="F20" s="31" t="s">
        <v>1409</v>
      </c>
      <c r="G20" t="str">
        <f t="shared" si="0"/>
        <v>https://www.scimagojr.com/journalsearch.php?q=1438-8871</v>
      </c>
    </row>
    <row r="21" spans="3:7" ht="14" x14ac:dyDescent="0.15">
      <c r="C21">
        <v>20</v>
      </c>
      <c r="D21" t="s">
        <v>1590</v>
      </c>
      <c r="E21" s="31" t="s">
        <v>175</v>
      </c>
      <c r="F21" s="31" t="s">
        <v>1417</v>
      </c>
      <c r="G21" t="str">
        <f t="shared" si="0"/>
        <v>https://www.scimagojr.com/journalsearch.php?q=2078-2489</v>
      </c>
    </row>
    <row r="22" spans="3:7" ht="14" x14ac:dyDescent="0.15">
      <c r="C22">
        <v>21</v>
      </c>
      <c r="D22" t="s">
        <v>1591</v>
      </c>
      <c r="E22" s="31" t="s">
        <v>1167</v>
      </c>
      <c r="F22" s="31" t="s">
        <v>1417</v>
      </c>
      <c r="G22" t="str">
        <f t="shared" si="0"/>
        <v>https://www.scimagojr.com/journalsearch.php?q=2079-3197</v>
      </c>
    </row>
    <row r="23" spans="3:7" ht="14" x14ac:dyDescent="0.15">
      <c r="C23">
        <v>22</v>
      </c>
      <c r="D23" t="s">
        <v>1592</v>
      </c>
      <c r="E23" s="31" t="s">
        <v>1542</v>
      </c>
      <c r="F23" s="31" t="s">
        <v>1409</v>
      </c>
      <c r="G23" t="str">
        <f t="shared" si="0"/>
        <v>https://www.scimagojr.com/journalsearch.php?q=2095-2228</v>
      </c>
    </row>
    <row r="24" spans="3:7" ht="14" x14ac:dyDescent="0.15">
      <c r="C24">
        <v>23</v>
      </c>
      <c r="D24" t="s">
        <v>1593</v>
      </c>
      <c r="E24" s="31" t="s">
        <v>532</v>
      </c>
      <c r="F24" s="31" t="s">
        <v>1409</v>
      </c>
      <c r="G24" t="str">
        <f t="shared" si="0"/>
        <v>https://www.scimagojr.com/journalsearch.php?q=1545-5971</v>
      </c>
    </row>
    <row r="25" spans="3:7" ht="14" x14ac:dyDescent="0.15">
      <c r="C25">
        <v>24</v>
      </c>
      <c r="D25" t="s">
        <v>1594</v>
      </c>
      <c r="E25" s="31" t="s">
        <v>143</v>
      </c>
      <c r="F25" s="31" t="s">
        <v>1409</v>
      </c>
      <c r="G25" t="str">
        <f t="shared" si="0"/>
        <v>https://www.scimagojr.com/journalsearch.php?q=1996-1073</v>
      </c>
    </row>
    <row r="26" spans="3:7" ht="14" x14ac:dyDescent="0.15">
      <c r="C26">
        <v>25</v>
      </c>
      <c r="D26" t="s">
        <v>1595</v>
      </c>
      <c r="E26" s="31" t="s">
        <v>1537</v>
      </c>
      <c r="F26" s="31" t="s">
        <v>1409</v>
      </c>
      <c r="G26" t="str">
        <f t="shared" si="0"/>
        <v>https://www.scimagojr.com/journalsearch.php?q=0360-8352</v>
      </c>
    </row>
    <row r="27" spans="3:7" ht="14" x14ac:dyDescent="0.15">
      <c r="C27">
        <v>26</v>
      </c>
      <c r="D27" t="s">
        <v>1596</v>
      </c>
      <c r="E27" s="31" t="s">
        <v>456</v>
      </c>
      <c r="F27" s="31" t="s">
        <v>1417</v>
      </c>
      <c r="G27" t="str">
        <f t="shared" si="0"/>
        <v>https://www.scimagojr.com/journalsearch.php?q=2227-7390</v>
      </c>
    </row>
    <row r="28" spans="3:7" ht="14" x14ac:dyDescent="0.15">
      <c r="C28">
        <v>27</v>
      </c>
      <c r="D28" t="s">
        <v>1597</v>
      </c>
      <c r="E28" s="31" t="s">
        <v>1527</v>
      </c>
      <c r="F28" s="31" t="s">
        <v>1409</v>
      </c>
      <c r="G28" t="str">
        <f t="shared" si="0"/>
        <v>https://www.scimagojr.com/journalsearch.php?q=1553-877X</v>
      </c>
    </row>
    <row r="29" spans="3:7" ht="14" x14ac:dyDescent="0.15">
      <c r="C29">
        <v>28</v>
      </c>
      <c r="D29" t="s">
        <v>1598</v>
      </c>
      <c r="E29" s="31" t="s">
        <v>408</v>
      </c>
      <c r="F29" s="31" t="s">
        <v>1409</v>
      </c>
      <c r="G29" t="str">
        <f t="shared" si="0"/>
        <v>https://www.scimagojr.com/journalsearch.php?q=2666-8270</v>
      </c>
    </row>
    <row r="30" spans="3:7" ht="14" x14ac:dyDescent="0.15">
      <c r="C30">
        <v>29</v>
      </c>
      <c r="D30" t="s">
        <v>1599</v>
      </c>
      <c r="E30" s="31" t="s">
        <v>299</v>
      </c>
      <c r="F30" s="31" t="s">
        <v>1417</v>
      </c>
      <c r="G30" t="str">
        <f t="shared" si="0"/>
        <v>https://www.scimagojr.com/journalsearch.php?q=1617-4909</v>
      </c>
    </row>
    <row r="31" spans="3:7" ht="14" x14ac:dyDescent="0.15">
      <c r="C31">
        <v>30</v>
      </c>
      <c r="D31" t="s">
        <v>1600</v>
      </c>
      <c r="E31" s="31" t="s">
        <v>559</v>
      </c>
      <c r="F31" s="31" t="s">
        <v>1417</v>
      </c>
      <c r="G31" t="str">
        <f t="shared" si="0"/>
        <v>https://www.scimagojr.com/journalsearch.php?q=1662-453X</v>
      </c>
    </row>
    <row r="32" spans="3:7" ht="14" x14ac:dyDescent="0.15">
      <c r="C32">
        <v>31</v>
      </c>
      <c r="D32" t="s">
        <v>1601</v>
      </c>
      <c r="E32" s="31" t="s">
        <v>467</v>
      </c>
      <c r="F32" s="31" t="s">
        <v>1409</v>
      </c>
      <c r="G32" t="str">
        <f t="shared" si="0"/>
        <v>https://www.scimagojr.com/journalsearch.php?q=0956-5515</v>
      </c>
    </row>
    <row r="33" spans="3:7" ht="14" x14ac:dyDescent="0.15">
      <c r="C33">
        <v>32</v>
      </c>
      <c r="D33" t="s">
        <v>1602</v>
      </c>
      <c r="E33" s="31" t="s">
        <v>420</v>
      </c>
      <c r="F33" s="31" t="s">
        <v>1409</v>
      </c>
      <c r="G33" t="str">
        <f t="shared" si="0"/>
        <v>https://www.scimagojr.com/journalsearch.php?q=1424-8220</v>
      </c>
    </row>
    <row r="34" spans="3:7" ht="14" x14ac:dyDescent="0.15">
      <c r="C34">
        <v>33</v>
      </c>
      <c r="D34" t="s">
        <v>1603</v>
      </c>
      <c r="E34" s="31" t="s">
        <v>1549</v>
      </c>
      <c r="F34" s="31" t="s">
        <v>1409</v>
      </c>
      <c r="G34" t="str">
        <f t="shared" si="0"/>
        <v>https://www.scimagojr.com/journalsearch.php?q=2470-0010</v>
      </c>
    </row>
    <row r="35" spans="3:7" ht="14" x14ac:dyDescent="0.15">
      <c r="C35">
        <v>34</v>
      </c>
      <c r="D35" t="s">
        <v>1604</v>
      </c>
      <c r="E35" s="31" t="s">
        <v>377</v>
      </c>
      <c r="F35" s="31" t="s">
        <v>1409</v>
      </c>
      <c r="G35" t="str">
        <f t="shared" si="0"/>
        <v>https://www.scimagojr.com/journalsearch.php?q=2731-538X</v>
      </c>
    </row>
    <row r="36" spans="3:7" ht="14" x14ac:dyDescent="0.15">
      <c r="C36">
        <v>35</v>
      </c>
      <c r="D36" t="s">
        <v>1605</v>
      </c>
      <c r="E36" s="31" t="s">
        <v>126</v>
      </c>
      <c r="F36" s="31" t="s">
        <v>1417</v>
      </c>
      <c r="G36" t="str">
        <f t="shared" si="0"/>
        <v>https://www.scimagojr.com/journalsearch.php?q=2076-3417</v>
      </c>
    </row>
    <row r="37" spans="3:7" ht="14" x14ac:dyDescent="0.15">
      <c r="C37">
        <v>36</v>
      </c>
      <c r="D37" t="s">
        <v>1410</v>
      </c>
      <c r="E37" s="31" t="s">
        <v>831</v>
      </c>
      <c r="F37" s="31" t="s">
        <v>1409</v>
      </c>
      <c r="G37" t="str">
        <f t="shared" si="0"/>
        <v>https://www.scimagojr.com/journalsearch.php?q=2046-1402</v>
      </c>
    </row>
    <row r="38" spans="3:7" ht="14" x14ac:dyDescent="0.15">
      <c r="C38">
        <v>37</v>
      </c>
      <c r="D38" t="s">
        <v>1443</v>
      </c>
      <c r="E38" s="31" t="s">
        <v>1198</v>
      </c>
      <c r="F38" s="31" t="s">
        <v>1409</v>
      </c>
      <c r="G38" t="str">
        <f t="shared" si="0"/>
        <v>https://www.scimagojr.com/journalsearch.php?q=1999-5903</v>
      </c>
    </row>
    <row r="39" spans="3:7" ht="14" x14ac:dyDescent="0.15">
      <c r="C39">
        <v>38</v>
      </c>
      <c r="D39" t="s">
        <v>1418</v>
      </c>
      <c r="E39" s="31" t="s">
        <v>1192</v>
      </c>
      <c r="F39" s="31" t="s">
        <v>1417</v>
      </c>
      <c r="G39" t="str">
        <f t="shared" si="0"/>
        <v>https://www.scimagojr.com/journalsearch.php?q=1999-4893</v>
      </c>
    </row>
    <row r="40" spans="3:7" ht="14" x14ac:dyDescent="0.15">
      <c r="C40">
        <v>39</v>
      </c>
      <c r="D40" t="s">
        <v>1460</v>
      </c>
      <c r="E40" s="31" t="s">
        <v>549</v>
      </c>
      <c r="F40" s="31" t="s">
        <v>1409</v>
      </c>
      <c r="G40" t="str">
        <f t="shared" si="0"/>
        <v>https://www.scimagojr.com/journalsearch.php?q=1939-1374</v>
      </c>
    </row>
    <row r="41" spans="3:7" ht="14" x14ac:dyDescent="0.15">
      <c r="C41">
        <v>40</v>
      </c>
      <c r="D41" t="s">
        <v>1430</v>
      </c>
      <c r="E41" s="31" t="s">
        <v>39</v>
      </c>
      <c r="F41" s="31" t="s">
        <v>1409</v>
      </c>
      <c r="G41" t="str">
        <f t="shared" si="0"/>
        <v>https://www.scimagojr.com/journalsearch.php?q=1566-2535</v>
      </c>
    </row>
    <row r="42" spans="3:7" ht="14" x14ac:dyDescent="0.15">
      <c r="C42">
        <v>41</v>
      </c>
      <c r="D42" t="s">
        <v>1422</v>
      </c>
      <c r="E42" s="31" t="s">
        <v>56</v>
      </c>
      <c r="F42" s="31" t="s">
        <v>1409</v>
      </c>
      <c r="G42" t="str">
        <f t="shared" si="0"/>
        <v>https://www.scimagojr.com/journalsearch.php?q=1049-331X</v>
      </c>
    </row>
    <row r="43" spans="3:7" ht="14" x14ac:dyDescent="0.15">
      <c r="C43">
        <v>42</v>
      </c>
      <c r="D43" t="s">
        <v>1462</v>
      </c>
      <c r="E43" s="31" t="s">
        <v>50</v>
      </c>
      <c r="F43" s="31" t="s">
        <v>1409</v>
      </c>
      <c r="G43" t="str">
        <f t="shared" si="0"/>
        <v>https://www.scimagojr.com/journalsearch.php?q=0957-4174</v>
      </c>
    </row>
    <row r="44" spans="3:7" ht="14" x14ac:dyDescent="0.15">
      <c r="C44">
        <v>43</v>
      </c>
      <c r="D44" s="31" t="s">
        <v>1424</v>
      </c>
      <c r="E44" s="31" t="s">
        <v>383</v>
      </c>
      <c r="F44" s="31" t="s">
        <v>1409</v>
      </c>
      <c r="G44" t="str">
        <f t="shared" si="0"/>
        <v>https://www.scimagojr.com/journalsearch.php?q=0360-0300</v>
      </c>
    </row>
    <row r="45" spans="3:7" ht="14" x14ac:dyDescent="0.15">
      <c r="C45">
        <v>44</v>
      </c>
      <c r="D45" t="s">
        <v>1440</v>
      </c>
      <c r="E45" s="31" t="s">
        <v>1178</v>
      </c>
      <c r="F45" s="31" t="s">
        <v>1409</v>
      </c>
      <c r="G45" t="str">
        <f t="shared" si="0"/>
        <v>https://www.scimagojr.com/journalsearch.php?q=0308-5961</v>
      </c>
    </row>
    <row r="46" spans="3:7" ht="14" x14ac:dyDescent="0.15">
      <c r="C46">
        <v>45</v>
      </c>
      <c r="D46" t="s">
        <v>1414</v>
      </c>
      <c r="E46" s="31" t="s">
        <v>855</v>
      </c>
      <c r="F46" s="31" t="s">
        <v>1409</v>
      </c>
      <c r="G46" t="str">
        <f t="shared" si="0"/>
        <v>https://www.scimagojr.com/journalsearch.php?q=2590-0056</v>
      </c>
    </row>
    <row r="47" spans="3:7" ht="14" x14ac:dyDescent="0.15">
      <c r="C47">
        <v>46</v>
      </c>
      <c r="D47" t="s">
        <v>1499</v>
      </c>
      <c r="E47" s="31" t="s">
        <v>228</v>
      </c>
      <c r="F47" s="31" t="s">
        <v>1409</v>
      </c>
      <c r="G47" t="str">
        <f t="shared" si="0"/>
        <v>https://www.scimagojr.com/journalsearch.php?q=1551-3203</v>
      </c>
    </row>
  </sheetData>
  <phoneticPr fontId="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250BE-C5ED-154D-8235-03FA2C61013F}">
  <dimension ref="G1:G37"/>
  <sheetViews>
    <sheetView workbookViewId="0">
      <selection activeCell="G9" sqref="G9"/>
    </sheetView>
  </sheetViews>
  <sheetFormatPr baseColWidth="10" defaultRowHeight="13" x14ac:dyDescent="0.15"/>
  <sheetData>
    <row r="1" spans="7:7" ht="14" x14ac:dyDescent="0.15">
      <c r="G1" t="s">
        <v>1440</v>
      </c>
    </row>
    <row r="2" spans="7:7" ht="14" x14ac:dyDescent="0.15">
      <c r="G2" t="s">
        <v>1424</v>
      </c>
    </row>
    <row r="3" spans="7:7" ht="14" x14ac:dyDescent="0.15">
      <c r="G3" t="s">
        <v>1462</v>
      </c>
    </row>
    <row r="4" spans="7:7" ht="14" x14ac:dyDescent="0.15">
      <c r="G4" t="s">
        <v>1422</v>
      </c>
    </row>
    <row r="5" spans="7:7" ht="14" x14ac:dyDescent="0.15">
      <c r="G5" t="s">
        <v>1430</v>
      </c>
    </row>
    <row r="6" spans="7:7" ht="14" x14ac:dyDescent="0.15">
      <c r="G6" t="s">
        <v>1460</v>
      </c>
    </row>
    <row r="7" spans="7:7" ht="14" x14ac:dyDescent="0.15">
      <c r="G7" t="s">
        <v>1418</v>
      </c>
    </row>
    <row r="8" spans="7:7" ht="14" x14ac:dyDescent="0.15">
      <c r="G8" t="s">
        <v>1443</v>
      </c>
    </row>
    <row r="9" spans="7:7" ht="14" x14ac:dyDescent="0.15">
      <c r="G9" t="s">
        <v>1410</v>
      </c>
    </row>
    <row r="10" spans="7:7" ht="14" x14ac:dyDescent="0.15">
      <c r="G10" t="s">
        <v>1479</v>
      </c>
    </row>
    <row r="11" spans="7:7" ht="14" x14ac:dyDescent="0.15">
      <c r="G11" t="s">
        <v>1426</v>
      </c>
    </row>
    <row r="12" spans="7:7" ht="14" x14ac:dyDescent="0.15"/>
    <row r="13" spans="7:7" ht="14" x14ac:dyDescent="0.15"/>
    <row r="14" spans="7:7" ht="14" x14ac:dyDescent="0.15"/>
    <row r="15" spans="7:7" ht="14" x14ac:dyDescent="0.15"/>
    <row r="16" spans="7:7" ht="14" x14ac:dyDescent="0.15"/>
    <row r="17" ht="14" x14ac:dyDescent="0.15"/>
    <row r="18" ht="14" x14ac:dyDescent="0.15"/>
    <row r="19" ht="14" x14ac:dyDescent="0.15"/>
    <row r="20" ht="14" x14ac:dyDescent="0.15"/>
    <row r="21" ht="14" x14ac:dyDescent="0.15"/>
    <row r="22" ht="14" x14ac:dyDescent="0.15"/>
    <row r="23" ht="14" x14ac:dyDescent="0.15"/>
    <row r="24" ht="14" x14ac:dyDescent="0.15"/>
    <row r="25" ht="14" x14ac:dyDescent="0.15"/>
    <row r="26" ht="14" x14ac:dyDescent="0.15"/>
    <row r="27" ht="14" x14ac:dyDescent="0.15"/>
    <row r="28" ht="14" x14ac:dyDescent="0.15"/>
    <row r="29" ht="14" x14ac:dyDescent="0.15"/>
    <row r="30" ht="14" x14ac:dyDescent="0.15"/>
    <row r="31" ht="14" x14ac:dyDescent="0.15"/>
    <row r="32" ht="14" x14ac:dyDescent="0.15"/>
    <row r="33" ht="14" x14ac:dyDescent="0.15"/>
    <row r="34" ht="14" x14ac:dyDescent="0.15"/>
    <row r="35" ht="14" x14ac:dyDescent="0.15"/>
    <row r="36" ht="14" x14ac:dyDescent="0.15"/>
    <row r="37" ht="14" x14ac:dyDescent="0.1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414F4-00F0-3846-B0CD-25EC6CA26149}">
  <dimension ref="A1:L116"/>
  <sheetViews>
    <sheetView topLeftCell="B36" workbookViewId="0">
      <selection activeCell="A3" sqref="A3:L116"/>
    </sheetView>
  </sheetViews>
  <sheetFormatPr baseColWidth="10" defaultRowHeight="13" x14ac:dyDescent="0.15"/>
  <cols>
    <col min="1" max="1" width="158.5" bestFit="1" customWidth="1"/>
    <col min="2" max="2" width="255.83203125" bestFit="1" customWidth="1"/>
    <col min="3" max="3" width="11" bestFit="1" customWidth="1"/>
    <col min="4" max="4" width="147" bestFit="1" customWidth="1"/>
    <col min="5" max="5" width="20.1640625" bestFit="1" customWidth="1"/>
    <col min="6" max="6" width="21" bestFit="1" customWidth="1"/>
    <col min="7" max="7" width="11" bestFit="1" customWidth="1"/>
    <col min="8" max="8" width="31.33203125" bestFit="1" customWidth="1"/>
    <col min="9" max="9" width="19.1640625" bestFit="1" customWidth="1"/>
    <col min="10" max="10" width="16.5" bestFit="1" customWidth="1"/>
    <col min="11" max="11" width="12.5" bestFit="1" customWidth="1"/>
    <col min="12" max="12" width="11" bestFit="1" customWidth="1"/>
  </cols>
  <sheetData>
    <row r="1" spans="1:12" ht="14" x14ac:dyDescent="0.15">
      <c r="A1" s="23" t="s">
        <v>1392</v>
      </c>
    </row>
    <row r="3" spans="1:12" ht="14" x14ac:dyDescent="0.1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</row>
    <row r="4" spans="1:12" ht="14" x14ac:dyDescent="0.15">
      <c r="A4" t="s">
        <v>23</v>
      </c>
      <c r="B4" t="s">
        <v>24</v>
      </c>
      <c r="C4">
        <v>2026</v>
      </c>
      <c r="D4" t="s">
        <v>25</v>
      </c>
      <c r="E4" t="s">
        <v>16</v>
      </c>
      <c r="F4" t="s">
        <v>17</v>
      </c>
      <c r="G4" t="s">
        <v>26</v>
      </c>
      <c r="H4" t="s">
        <v>27</v>
      </c>
      <c r="I4" t="s">
        <v>28</v>
      </c>
      <c r="J4">
        <v>0</v>
      </c>
      <c r="K4">
        <v>0</v>
      </c>
      <c r="L4" t="s">
        <v>29</v>
      </c>
    </row>
    <row r="5" spans="1:12" ht="14" x14ac:dyDescent="0.15">
      <c r="A5" t="s">
        <v>37</v>
      </c>
      <c r="B5" t="s">
        <v>38</v>
      </c>
      <c r="C5">
        <v>2025</v>
      </c>
      <c r="D5" t="s">
        <v>39</v>
      </c>
      <c r="E5" t="s">
        <v>16</v>
      </c>
      <c r="F5" t="s">
        <v>17</v>
      </c>
      <c r="G5" t="s">
        <v>40</v>
      </c>
      <c r="H5" t="s">
        <v>41</v>
      </c>
      <c r="I5" t="s">
        <v>42</v>
      </c>
      <c r="J5">
        <v>1</v>
      </c>
      <c r="K5">
        <v>0</v>
      </c>
      <c r="L5" t="s">
        <v>29</v>
      </c>
    </row>
    <row r="6" spans="1:12" ht="14" x14ac:dyDescent="0.15">
      <c r="A6" t="s">
        <v>43</v>
      </c>
      <c r="B6" t="s">
        <v>44</v>
      </c>
      <c r="C6">
        <v>2025</v>
      </c>
      <c r="D6" t="s">
        <v>25</v>
      </c>
      <c r="E6" t="s">
        <v>16</v>
      </c>
      <c r="F6" t="s">
        <v>32</v>
      </c>
      <c r="G6" t="s">
        <v>45</v>
      </c>
      <c r="H6" t="s">
        <v>46</v>
      </c>
      <c r="I6" t="s">
        <v>47</v>
      </c>
      <c r="J6">
        <v>0</v>
      </c>
      <c r="K6">
        <v>0</v>
      </c>
      <c r="L6" t="s">
        <v>29</v>
      </c>
    </row>
    <row r="7" spans="1:12" ht="14" x14ac:dyDescent="0.15">
      <c r="A7" t="s">
        <v>48</v>
      </c>
      <c r="B7" t="s">
        <v>49</v>
      </c>
      <c r="C7">
        <v>2025</v>
      </c>
      <c r="D7" t="s">
        <v>50</v>
      </c>
      <c r="E7" t="s">
        <v>16</v>
      </c>
      <c r="F7" t="s">
        <v>32</v>
      </c>
      <c r="G7" t="s">
        <v>51</v>
      </c>
      <c r="H7" t="s">
        <v>52</v>
      </c>
      <c r="I7" t="s">
        <v>53</v>
      </c>
      <c r="J7">
        <v>1</v>
      </c>
      <c r="K7">
        <v>0</v>
      </c>
      <c r="L7" t="s">
        <v>29</v>
      </c>
    </row>
    <row r="8" spans="1:12" ht="14" x14ac:dyDescent="0.15">
      <c r="A8" t="s">
        <v>54</v>
      </c>
      <c r="B8" t="s">
        <v>55</v>
      </c>
      <c r="C8">
        <v>2025</v>
      </c>
      <c r="D8" t="s">
        <v>56</v>
      </c>
      <c r="E8" t="s">
        <v>16</v>
      </c>
      <c r="F8" t="s">
        <v>32</v>
      </c>
      <c r="G8" t="s">
        <v>57</v>
      </c>
      <c r="H8" t="s">
        <v>58</v>
      </c>
      <c r="I8" t="s">
        <v>59</v>
      </c>
      <c r="J8">
        <v>1</v>
      </c>
      <c r="K8">
        <v>0</v>
      </c>
      <c r="L8" t="s">
        <v>29</v>
      </c>
    </row>
    <row r="9" spans="1:12" ht="14" x14ac:dyDescent="0.15">
      <c r="A9" t="s">
        <v>60</v>
      </c>
      <c r="B9" t="s">
        <v>61</v>
      </c>
      <c r="C9">
        <v>2025</v>
      </c>
      <c r="D9" t="s">
        <v>25</v>
      </c>
      <c r="E9" t="s">
        <v>16</v>
      </c>
      <c r="F9" t="s">
        <v>32</v>
      </c>
      <c r="G9" t="s">
        <v>62</v>
      </c>
      <c r="H9" t="s">
        <v>63</v>
      </c>
      <c r="I9" t="s">
        <v>64</v>
      </c>
      <c r="J9">
        <v>1</v>
      </c>
      <c r="K9">
        <v>0</v>
      </c>
      <c r="L9" t="s">
        <v>29</v>
      </c>
    </row>
    <row r="10" spans="1:12" ht="14" x14ac:dyDescent="0.15">
      <c r="A10" t="s">
        <v>68</v>
      </c>
      <c r="B10" t="s">
        <v>69</v>
      </c>
      <c r="C10">
        <v>2024</v>
      </c>
      <c r="D10" t="s">
        <v>25</v>
      </c>
      <c r="E10" t="s">
        <v>16</v>
      </c>
      <c r="F10" t="s">
        <v>32</v>
      </c>
      <c r="G10" t="s">
        <v>70</v>
      </c>
      <c r="H10" t="s">
        <v>71</v>
      </c>
      <c r="I10" t="s">
        <v>72</v>
      </c>
      <c r="J10">
        <v>1</v>
      </c>
      <c r="K10">
        <v>0</v>
      </c>
      <c r="L10" t="s">
        <v>29</v>
      </c>
    </row>
    <row r="11" spans="1:12" ht="14" x14ac:dyDescent="0.15">
      <c r="A11" t="s">
        <v>79</v>
      </c>
      <c r="B11" t="s">
        <v>80</v>
      </c>
      <c r="C11">
        <v>2021</v>
      </c>
      <c r="D11" t="s">
        <v>25</v>
      </c>
      <c r="E11" t="s">
        <v>16</v>
      </c>
      <c r="F11" t="s">
        <v>32</v>
      </c>
      <c r="G11" t="s">
        <v>81</v>
      </c>
      <c r="H11" t="s">
        <v>82</v>
      </c>
      <c r="I11" t="s">
        <v>83</v>
      </c>
      <c r="J11">
        <v>1</v>
      </c>
      <c r="K11">
        <v>0</v>
      </c>
      <c r="L11" t="s">
        <v>29</v>
      </c>
    </row>
    <row r="12" spans="1:12" ht="14" x14ac:dyDescent="0.15">
      <c r="A12" t="s">
        <v>84</v>
      </c>
      <c r="B12" t="s">
        <v>85</v>
      </c>
      <c r="C12">
        <v>2020</v>
      </c>
      <c r="D12" t="s">
        <v>25</v>
      </c>
      <c r="E12" t="s">
        <v>16</v>
      </c>
      <c r="F12" t="s">
        <v>32</v>
      </c>
      <c r="G12" t="s">
        <v>86</v>
      </c>
      <c r="H12" t="s">
        <v>87</v>
      </c>
      <c r="I12" t="s">
        <v>88</v>
      </c>
      <c r="J12">
        <v>1</v>
      </c>
      <c r="K12">
        <v>0</v>
      </c>
      <c r="L12" t="s">
        <v>29</v>
      </c>
    </row>
    <row r="13" spans="1:12" ht="14" x14ac:dyDescent="0.15">
      <c r="A13" t="s">
        <v>103</v>
      </c>
      <c r="B13" t="s">
        <v>104</v>
      </c>
      <c r="C13">
        <v>2026</v>
      </c>
      <c r="D13" t="s">
        <v>105</v>
      </c>
      <c r="E13" t="s">
        <v>91</v>
      </c>
      <c r="F13" t="s">
        <v>32</v>
      </c>
      <c r="H13" t="s">
        <v>106</v>
      </c>
      <c r="I13" t="s">
        <v>107</v>
      </c>
      <c r="J13">
        <v>0</v>
      </c>
      <c r="K13">
        <v>0</v>
      </c>
      <c r="L13" t="s">
        <v>19</v>
      </c>
    </row>
    <row r="14" spans="1:12" ht="14" x14ac:dyDescent="0.15">
      <c r="A14" t="s">
        <v>124</v>
      </c>
      <c r="B14" t="s">
        <v>125</v>
      </c>
      <c r="C14">
        <v>2023</v>
      </c>
      <c r="D14" t="s">
        <v>126</v>
      </c>
      <c r="E14" t="s">
        <v>91</v>
      </c>
      <c r="F14" t="s">
        <v>75</v>
      </c>
      <c r="G14" t="s">
        <v>127</v>
      </c>
      <c r="H14" t="s">
        <v>128</v>
      </c>
      <c r="I14" t="s">
        <v>129</v>
      </c>
      <c r="J14">
        <v>0</v>
      </c>
      <c r="K14">
        <v>0</v>
      </c>
      <c r="L14" t="s">
        <v>29</v>
      </c>
    </row>
    <row r="15" spans="1:12" ht="14" x14ac:dyDescent="0.15">
      <c r="A15" t="s">
        <v>130</v>
      </c>
      <c r="B15" t="s">
        <v>131</v>
      </c>
      <c r="C15">
        <v>2023</v>
      </c>
      <c r="D15" t="s">
        <v>126</v>
      </c>
      <c r="E15" t="s">
        <v>91</v>
      </c>
      <c r="F15" t="s">
        <v>75</v>
      </c>
      <c r="G15" t="s">
        <v>132</v>
      </c>
      <c r="H15" t="s">
        <v>133</v>
      </c>
      <c r="I15" t="s">
        <v>134</v>
      </c>
      <c r="J15">
        <v>0</v>
      </c>
      <c r="K15">
        <v>0</v>
      </c>
      <c r="L15" t="s">
        <v>29</v>
      </c>
    </row>
    <row r="16" spans="1:12" ht="14" x14ac:dyDescent="0.15">
      <c r="A16" t="s">
        <v>141</v>
      </c>
      <c r="B16" t="s">
        <v>142</v>
      </c>
      <c r="C16">
        <v>2021</v>
      </c>
      <c r="D16" t="s">
        <v>143</v>
      </c>
      <c r="E16" t="s">
        <v>91</v>
      </c>
      <c r="F16" t="s">
        <v>32</v>
      </c>
      <c r="G16" t="s">
        <v>144</v>
      </c>
      <c r="H16" t="s">
        <v>145</v>
      </c>
      <c r="I16" t="s">
        <v>146</v>
      </c>
      <c r="J16">
        <v>0</v>
      </c>
      <c r="K16">
        <v>0</v>
      </c>
      <c r="L16" t="s">
        <v>29</v>
      </c>
    </row>
    <row r="17" spans="1:12" ht="14" x14ac:dyDescent="0.15">
      <c r="A17" t="s">
        <v>167</v>
      </c>
      <c r="B17" t="s">
        <v>168</v>
      </c>
      <c r="C17">
        <v>2025</v>
      </c>
      <c r="D17" t="s">
        <v>169</v>
      </c>
      <c r="E17" t="s">
        <v>155</v>
      </c>
      <c r="F17" t="s">
        <v>32</v>
      </c>
      <c r="G17" t="s">
        <v>170</v>
      </c>
      <c r="H17" t="s">
        <v>171</v>
      </c>
      <c r="I17" t="s">
        <v>172</v>
      </c>
      <c r="J17">
        <v>0</v>
      </c>
      <c r="K17">
        <v>0</v>
      </c>
      <c r="L17" t="s">
        <v>29</v>
      </c>
    </row>
    <row r="18" spans="1:12" ht="14" x14ac:dyDescent="0.15">
      <c r="A18" t="s">
        <v>173</v>
      </c>
      <c r="B18" t="s">
        <v>174</v>
      </c>
      <c r="C18">
        <v>2025</v>
      </c>
      <c r="D18" t="s">
        <v>175</v>
      </c>
      <c r="E18" t="s">
        <v>155</v>
      </c>
      <c r="F18" t="s">
        <v>32</v>
      </c>
      <c r="G18" t="s">
        <v>176</v>
      </c>
      <c r="H18" t="s">
        <v>177</v>
      </c>
      <c r="I18" t="s">
        <v>178</v>
      </c>
      <c r="J18">
        <v>0</v>
      </c>
      <c r="K18">
        <v>0</v>
      </c>
      <c r="L18" t="s">
        <v>29</v>
      </c>
    </row>
    <row r="19" spans="1:12" ht="14" x14ac:dyDescent="0.15">
      <c r="A19" t="s">
        <v>185</v>
      </c>
      <c r="B19" t="s">
        <v>186</v>
      </c>
      <c r="C19">
        <v>2023</v>
      </c>
      <c r="D19" t="s">
        <v>187</v>
      </c>
      <c r="E19" t="s">
        <v>155</v>
      </c>
      <c r="F19" t="s">
        <v>32</v>
      </c>
      <c r="G19" t="s">
        <v>188</v>
      </c>
      <c r="H19" t="s">
        <v>189</v>
      </c>
      <c r="I19" t="s">
        <v>190</v>
      </c>
      <c r="J19">
        <v>0</v>
      </c>
      <c r="K19">
        <v>0</v>
      </c>
      <c r="L19" t="s">
        <v>29</v>
      </c>
    </row>
    <row r="20" spans="1:12" ht="14" x14ac:dyDescent="0.15">
      <c r="A20" t="s">
        <v>201</v>
      </c>
      <c r="B20" t="s">
        <v>202</v>
      </c>
      <c r="C20">
        <v>2022</v>
      </c>
      <c r="D20" t="s">
        <v>203</v>
      </c>
      <c r="E20" t="s">
        <v>155</v>
      </c>
      <c r="F20" t="s">
        <v>32</v>
      </c>
      <c r="G20" t="s">
        <v>204</v>
      </c>
      <c r="H20" t="s">
        <v>205</v>
      </c>
      <c r="I20" t="s">
        <v>206</v>
      </c>
      <c r="J20">
        <v>0</v>
      </c>
      <c r="K20">
        <v>0</v>
      </c>
      <c r="L20" t="s">
        <v>29</v>
      </c>
    </row>
    <row r="21" spans="1:12" ht="14" x14ac:dyDescent="0.15">
      <c r="A21" t="s">
        <v>210</v>
      </c>
      <c r="B21" t="s">
        <v>211</v>
      </c>
      <c r="C21">
        <v>2021</v>
      </c>
      <c r="D21" t="s">
        <v>212</v>
      </c>
      <c r="E21" t="s">
        <v>155</v>
      </c>
      <c r="F21" t="s">
        <v>32</v>
      </c>
      <c r="H21" t="s">
        <v>213</v>
      </c>
      <c r="I21" t="s">
        <v>214</v>
      </c>
      <c r="J21">
        <v>0</v>
      </c>
      <c r="K21">
        <v>0</v>
      </c>
      <c r="L21" t="s">
        <v>19</v>
      </c>
    </row>
    <row r="22" spans="1:12" ht="14" x14ac:dyDescent="0.15">
      <c r="A22" t="s">
        <v>215</v>
      </c>
      <c r="B22" t="s">
        <v>216</v>
      </c>
      <c r="C22">
        <v>2020</v>
      </c>
      <c r="D22" t="s">
        <v>217</v>
      </c>
      <c r="E22" t="s">
        <v>155</v>
      </c>
      <c r="F22" t="s">
        <v>75</v>
      </c>
      <c r="H22" t="s">
        <v>218</v>
      </c>
      <c r="I22" t="s">
        <v>219</v>
      </c>
      <c r="J22">
        <v>0</v>
      </c>
      <c r="K22">
        <v>0</v>
      </c>
      <c r="L22" t="s">
        <v>19</v>
      </c>
    </row>
    <row r="23" spans="1:12" ht="14" x14ac:dyDescent="0.15">
      <c r="A23" t="s">
        <v>220</v>
      </c>
      <c r="B23" t="s">
        <v>221</v>
      </c>
      <c r="C23">
        <v>2020</v>
      </c>
      <c r="D23" t="s">
        <v>222</v>
      </c>
      <c r="E23" t="s">
        <v>155</v>
      </c>
      <c r="F23" t="s">
        <v>32</v>
      </c>
      <c r="G23" t="s">
        <v>223</v>
      </c>
      <c r="H23" t="s">
        <v>224</v>
      </c>
      <c r="I23" t="s">
        <v>225</v>
      </c>
      <c r="J23">
        <v>0</v>
      </c>
      <c r="K23">
        <v>0</v>
      </c>
      <c r="L23" t="s">
        <v>29</v>
      </c>
    </row>
    <row r="24" spans="1:12" ht="14" x14ac:dyDescent="0.15">
      <c r="A24" t="s">
        <v>226</v>
      </c>
      <c r="B24" t="s">
        <v>227</v>
      </c>
      <c r="C24">
        <v>2020</v>
      </c>
      <c r="D24" t="s">
        <v>228</v>
      </c>
      <c r="E24" t="s">
        <v>155</v>
      </c>
      <c r="F24" t="s">
        <v>32</v>
      </c>
      <c r="G24" t="s">
        <v>229</v>
      </c>
      <c r="H24" t="s">
        <v>230</v>
      </c>
      <c r="I24" t="s">
        <v>231</v>
      </c>
      <c r="J24">
        <v>0</v>
      </c>
      <c r="K24">
        <v>0</v>
      </c>
      <c r="L24" t="s">
        <v>29</v>
      </c>
    </row>
    <row r="25" spans="1:12" ht="14" x14ac:dyDescent="0.15">
      <c r="A25" t="s">
        <v>266</v>
      </c>
      <c r="B25" t="s">
        <v>267</v>
      </c>
      <c r="C25">
        <v>2025</v>
      </c>
      <c r="D25" t="s">
        <v>268</v>
      </c>
      <c r="E25" t="s">
        <v>237</v>
      </c>
      <c r="F25" t="s">
        <v>32</v>
      </c>
      <c r="G25" t="s">
        <v>62</v>
      </c>
      <c r="H25" t="s">
        <v>269</v>
      </c>
      <c r="I25" t="s">
        <v>270</v>
      </c>
      <c r="J25">
        <v>1</v>
      </c>
      <c r="K25">
        <v>0</v>
      </c>
      <c r="L25" t="s">
        <v>29</v>
      </c>
    </row>
    <row r="26" spans="1:12" ht="14" x14ac:dyDescent="0.15">
      <c r="A26" t="s">
        <v>271</v>
      </c>
      <c r="B26" t="s">
        <v>272</v>
      </c>
      <c r="C26">
        <v>2025</v>
      </c>
      <c r="D26" t="s">
        <v>25</v>
      </c>
      <c r="E26" t="s">
        <v>237</v>
      </c>
      <c r="F26" t="s">
        <v>32</v>
      </c>
      <c r="G26" t="s">
        <v>273</v>
      </c>
      <c r="H26" t="s">
        <v>274</v>
      </c>
      <c r="I26" t="s">
        <v>275</v>
      </c>
      <c r="J26">
        <v>1</v>
      </c>
      <c r="K26">
        <v>0</v>
      </c>
      <c r="L26" t="s">
        <v>29</v>
      </c>
    </row>
    <row r="27" spans="1:12" ht="14" x14ac:dyDescent="0.15">
      <c r="A27" t="s">
        <v>292</v>
      </c>
      <c r="B27" t="s">
        <v>293</v>
      </c>
      <c r="C27">
        <v>2023</v>
      </c>
      <c r="D27" t="s">
        <v>294</v>
      </c>
      <c r="E27" t="s">
        <v>237</v>
      </c>
      <c r="F27" t="s">
        <v>75</v>
      </c>
      <c r="G27" t="s">
        <v>26</v>
      </c>
      <c r="H27" t="s">
        <v>295</v>
      </c>
      <c r="I27" t="s">
        <v>296</v>
      </c>
      <c r="J27">
        <v>0</v>
      </c>
      <c r="K27">
        <v>0</v>
      </c>
      <c r="L27" t="s">
        <v>29</v>
      </c>
    </row>
    <row r="28" spans="1:12" ht="14" x14ac:dyDescent="0.15">
      <c r="A28" t="s">
        <v>297</v>
      </c>
      <c r="B28" t="s">
        <v>298</v>
      </c>
      <c r="C28">
        <v>2021</v>
      </c>
      <c r="D28" t="s">
        <v>299</v>
      </c>
      <c r="E28" t="s">
        <v>237</v>
      </c>
      <c r="F28" t="s">
        <v>32</v>
      </c>
      <c r="G28" t="s">
        <v>300</v>
      </c>
      <c r="H28" t="s">
        <v>301</v>
      </c>
      <c r="I28" t="s">
        <v>302</v>
      </c>
      <c r="J28">
        <v>0</v>
      </c>
      <c r="K28">
        <v>0</v>
      </c>
      <c r="L28" t="s">
        <v>29</v>
      </c>
    </row>
    <row r="29" spans="1:12" ht="14" x14ac:dyDescent="0.15">
      <c r="A29" t="s">
        <v>303</v>
      </c>
      <c r="B29" t="s">
        <v>304</v>
      </c>
      <c r="C29">
        <v>2021</v>
      </c>
      <c r="D29" t="s">
        <v>305</v>
      </c>
      <c r="E29" t="s">
        <v>237</v>
      </c>
      <c r="F29" t="s">
        <v>32</v>
      </c>
      <c r="G29" t="s">
        <v>306</v>
      </c>
      <c r="H29" t="s">
        <v>307</v>
      </c>
      <c r="I29" t="s">
        <v>308</v>
      </c>
      <c r="J29">
        <v>0</v>
      </c>
      <c r="K29">
        <v>0</v>
      </c>
      <c r="L29" t="s">
        <v>29</v>
      </c>
    </row>
    <row r="30" spans="1:12" ht="14" x14ac:dyDescent="0.15">
      <c r="A30" t="s">
        <v>313</v>
      </c>
      <c r="B30" t="s">
        <v>314</v>
      </c>
      <c r="C30">
        <v>2019</v>
      </c>
      <c r="D30" t="s">
        <v>315</v>
      </c>
      <c r="E30" t="s">
        <v>237</v>
      </c>
      <c r="F30" t="s">
        <v>32</v>
      </c>
      <c r="G30" t="s">
        <v>316</v>
      </c>
      <c r="H30" t="s">
        <v>317</v>
      </c>
      <c r="I30" t="s">
        <v>318</v>
      </c>
      <c r="J30">
        <v>0</v>
      </c>
      <c r="K30">
        <v>0</v>
      </c>
      <c r="L30" t="s">
        <v>29</v>
      </c>
    </row>
    <row r="31" spans="1:12" ht="14" x14ac:dyDescent="0.15">
      <c r="A31" t="s">
        <v>330</v>
      </c>
      <c r="B31" t="s">
        <v>331</v>
      </c>
      <c r="C31">
        <v>2026</v>
      </c>
      <c r="D31" t="s">
        <v>315</v>
      </c>
      <c r="E31" t="s">
        <v>321</v>
      </c>
      <c r="F31" t="s">
        <v>32</v>
      </c>
      <c r="G31" t="s">
        <v>62</v>
      </c>
      <c r="H31" t="s">
        <v>332</v>
      </c>
      <c r="I31" t="s">
        <v>333</v>
      </c>
      <c r="J31">
        <v>0</v>
      </c>
      <c r="K31">
        <v>0</v>
      </c>
      <c r="L31" t="s">
        <v>29</v>
      </c>
    </row>
    <row r="32" spans="1:12" ht="14" x14ac:dyDescent="0.15">
      <c r="A32" t="s">
        <v>341</v>
      </c>
      <c r="B32" t="s">
        <v>342</v>
      </c>
      <c r="C32">
        <v>2025</v>
      </c>
      <c r="D32" t="s">
        <v>343</v>
      </c>
      <c r="E32" t="s">
        <v>321</v>
      </c>
      <c r="F32" t="s">
        <v>75</v>
      </c>
      <c r="H32" t="s">
        <v>344</v>
      </c>
      <c r="I32" t="s">
        <v>345</v>
      </c>
      <c r="J32">
        <v>0</v>
      </c>
      <c r="K32">
        <v>0</v>
      </c>
      <c r="L32" t="s">
        <v>19</v>
      </c>
    </row>
    <row r="33" spans="1:12" ht="28" x14ac:dyDescent="0.15">
      <c r="A33" t="s">
        <v>588</v>
      </c>
      <c r="B33" t="s">
        <v>589</v>
      </c>
      <c r="C33">
        <v>2017</v>
      </c>
      <c r="D33" t="s">
        <v>590</v>
      </c>
      <c r="E33" t="s">
        <v>321</v>
      </c>
      <c r="F33" t="s">
        <v>32</v>
      </c>
      <c r="G33" t="s">
        <v>311</v>
      </c>
      <c r="H33" t="s">
        <v>591</v>
      </c>
      <c r="I33" t="s">
        <v>592</v>
      </c>
      <c r="J33">
        <v>0</v>
      </c>
      <c r="K33">
        <v>0</v>
      </c>
      <c r="L33" t="s">
        <v>29</v>
      </c>
    </row>
    <row r="34" spans="1:12" ht="14" x14ac:dyDescent="0.15">
      <c r="A34" t="s">
        <v>358</v>
      </c>
      <c r="B34" t="s">
        <v>359</v>
      </c>
      <c r="C34">
        <v>2024</v>
      </c>
      <c r="D34" t="s">
        <v>126</v>
      </c>
      <c r="E34" t="s">
        <v>321</v>
      </c>
      <c r="F34" t="s">
        <v>17</v>
      </c>
      <c r="G34" t="s">
        <v>360</v>
      </c>
      <c r="H34" t="s">
        <v>361</v>
      </c>
      <c r="I34" t="s">
        <v>362</v>
      </c>
      <c r="J34">
        <v>0</v>
      </c>
      <c r="K34">
        <v>0</v>
      </c>
      <c r="L34" t="s">
        <v>29</v>
      </c>
    </row>
    <row r="35" spans="1:12" ht="14" x14ac:dyDescent="0.15">
      <c r="A35" t="s">
        <v>363</v>
      </c>
      <c r="B35" t="s">
        <v>364</v>
      </c>
      <c r="C35">
        <v>2024</v>
      </c>
      <c r="D35" t="s">
        <v>25</v>
      </c>
      <c r="E35" t="s">
        <v>321</v>
      </c>
      <c r="F35" t="s">
        <v>17</v>
      </c>
      <c r="G35" t="s">
        <v>365</v>
      </c>
      <c r="H35" t="s">
        <v>366</v>
      </c>
      <c r="I35" t="s">
        <v>367</v>
      </c>
      <c r="J35">
        <v>0</v>
      </c>
      <c r="K35">
        <v>0</v>
      </c>
      <c r="L35" t="s">
        <v>29</v>
      </c>
    </row>
    <row r="36" spans="1:12" ht="14" x14ac:dyDescent="0.15">
      <c r="A36" t="s">
        <v>583</v>
      </c>
      <c r="B36" t="s">
        <v>584</v>
      </c>
      <c r="C36">
        <v>2018</v>
      </c>
      <c r="D36" t="s">
        <v>126</v>
      </c>
      <c r="E36" t="s">
        <v>321</v>
      </c>
      <c r="F36" t="s">
        <v>75</v>
      </c>
      <c r="G36" t="s">
        <v>585</v>
      </c>
      <c r="H36" t="s">
        <v>586</v>
      </c>
      <c r="I36" t="s">
        <v>587</v>
      </c>
      <c r="J36">
        <v>0</v>
      </c>
      <c r="K36">
        <v>0</v>
      </c>
      <c r="L36" t="s">
        <v>29</v>
      </c>
    </row>
    <row r="37" spans="1:12" ht="14" x14ac:dyDescent="0.15">
      <c r="A37" t="s">
        <v>569</v>
      </c>
      <c r="B37" t="s">
        <v>570</v>
      </c>
      <c r="C37">
        <v>2019</v>
      </c>
      <c r="D37" t="s">
        <v>571</v>
      </c>
      <c r="E37" t="s">
        <v>321</v>
      </c>
      <c r="F37" t="s">
        <v>32</v>
      </c>
      <c r="G37" t="s">
        <v>572</v>
      </c>
      <c r="H37" t="s">
        <v>573</v>
      </c>
      <c r="I37" t="s">
        <v>574</v>
      </c>
      <c r="J37">
        <v>0</v>
      </c>
      <c r="K37">
        <v>0</v>
      </c>
      <c r="L37" t="s">
        <v>29</v>
      </c>
    </row>
    <row r="38" spans="1:12" ht="14" x14ac:dyDescent="0.15">
      <c r="A38" t="s">
        <v>375</v>
      </c>
      <c r="B38" t="s">
        <v>376</v>
      </c>
      <c r="C38">
        <v>2024</v>
      </c>
      <c r="D38" t="s">
        <v>377</v>
      </c>
      <c r="E38" t="s">
        <v>321</v>
      </c>
      <c r="F38" t="s">
        <v>17</v>
      </c>
      <c r="G38" t="s">
        <v>378</v>
      </c>
      <c r="H38" t="s">
        <v>379</v>
      </c>
      <c r="I38" t="s">
        <v>380</v>
      </c>
      <c r="J38">
        <v>0</v>
      </c>
      <c r="K38">
        <v>0</v>
      </c>
      <c r="L38" t="s">
        <v>29</v>
      </c>
    </row>
    <row r="39" spans="1:12" ht="14" x14ac:dyDescent="0.15">
      <c r="A39" t="s">
        <v>381</v>
      </c>
      <c r="B39" t="s">
        <v>382</v>
      </c>
      <c r="C39">
        <v>2024</v>
      </c>
      <c r="D39" t="s">
        <v>383</v>
      </c>
      <c r="E39" t="s">
        <v>321</v>
      </c>
      <c r="F39" t="s">
        <v>17</v>
      </c>
      <c r="G39" t="s">
        <v>384</v>
      </c>
      <c r="H39" t="s">
        <v>385</v>
      </c>
      <c r="I39" t="s">
        <v>386</v>
      </c>
      <c r="J39">
        <v>0</v>
      </c>
      <c r="K39">
        <v>0</v>
      </c>
      <c r="L39" t="s">
        <v>29</v>
      </c>
    </row>
    <row r="40" spans="1:12" ht="14" x14ac:dyDescent="0.15">
      <c r="A40" t="s">
        <v>387</v>
      </c>
      <c r="B40" t="s">
        <v>388</v>
      </c>
      <c r="C40">
        <v>2024</v>
      </c>
      <c r="D40" t="s">
        <v>315</v>
      </c>
      <c r="E40" t="s">
        <v>321</v>
      </c>
      <c r="F40" t="s">
        <v>75</v>
      </c>
      <c r="G40" t="s">
        <v>389</v>
      </c>
      <c r="H40" t="s">
        <v>390</v>
      </c>
      <c r="I40" t="s">
        <v>391</v>
      </c>
      <c r="J40">
        <v>0</v>
      </c>
      <c r="K40">
        <v>0</v>
      </c>
      <c r="L40" t="s">
        <v>29</v>
      </c>
    </row>
    <row r="41" spans="1:12" ht="14" x14ac:dyDescent="0.15">
      <c r="A41" t="s">
        <v>563</v>
      </c>
      <c r="B41" t="s">
        <v>564</v>
      </c>
      <c r="C41">
        <v>2019</v>
      </c>
      <c r="D41" t="s">
        <v>565</v>
      </c>
      <c r="E41" t="s">
        <v>321</v>
      </c>
      <c r="F41" t="s">
        <v>75</v>
      </c>
      <c r="G41" t="s">
        <v>566</v>
      </c>
      <c r="H41" t="s">
        <v>567</v>
      </c>
      <c r="I41" t="s">
        <v>568</v>
      </c>
      <c r="J41">
        <v>0</v>
      </c>
      <c r="K41">
        <v>0</v>
      </c>
      <c r="L41" t="s">
        <v>29</v>
      </c>
    </row>
    <row r="42" spans="1:12" ht="14" x14ac:dyDescent="0.15">
      <c r="A42" t="s">
        <v>557</v>
      </c>
      <c r="B42" t="s">
        <v>558</v>
      </c>
      <c r="C42">
        <v>2020</v>
      </c>
      <c r="D42" t="s">
        <v>559</v>
      </c>
      <c r="E42" t="s">
        <v>321</v>
      </c>
      <c r="F42" t="s">
        <v>32</v>
      </c>
      <c r="G42" t="s">
        <v>560</v>
      </c>
      <c r="H42" t="s">
        <v>561</v>
      </c>
      <c r="I42" t="s">
        <v>562</v>
      </c>
      <c r="J42">
        <v>0</v>
      </c>
      <c r="K42">
        <v>0</v>
      </c>
      <c r="L42" t="s">
        <v>29</v>
      </c>
    </row>
    <row r="43" spans="1:12" ht="14" x14ac:dyDescent="0.15">
      <c r="A43" t="s">
        <v>398</v>
      </c>
      <c r="B43" t="s">
        <v>399</v>
      </c>
      <c r="C43">
        <v>2024</v>
      </c>
      <c r="D43" t="s">
        <v>315</v>
      </c>
      <c r="E43" t="s">
        <v>321</v>
      </c>
      <c r="F43" t="s">
        <v>32</v>
      </c>
      <c r="G43" t="s">
        <v>400</v>
      </c>
      <c r="H43" t="s">
        <v>401</v>
      </c>
      <c r="I43" t="s">
        <v>402</v>
      </c>
      <c r="J43">
        <v>0</v>
      </c>
      <c r="K43">
        <v>0</v>
      </c>
      <c r="L43" t="s">
        <v>29</v>
      </c>
    </row>
    <row r="44" spans="1:12" ht="14" x14ac:dyDescent="0.15">
      <c r="A44" t="s">
        <v>547</v>
      </c>
      <c r="B44" t="s">
        <v>548</v>
      </c>
      <c r="C44">
        <v>2020</v>
      </c>
      <c r="D44" t="s">
        <v>549</v>
      </c>
      <c r="E44" t="s">
        <v>321</v>
      </c>
      <c r="F44" t="s">
        <v>32</v>
      </c>
      <c r="G44" t="s">
        <v>550</v>
      </c>
      <c r="H44" t="s">
        <v>551</v>
      </c>
      <c r="I44" t="s">
        <v>552</v>
      </c>
      <c r="J44">
        <v>0</v>
      </c>
      <c r="K44">
        <v>0</v>
      </c>
      <c r="L44" t="s">
        <v>29</v>
      </c>
    </row>
    <row r="45" spans="1:12" ht="14" x14ac:dyDescent="0.15">
      <c r="A45" t="s">
        <v>406</v>
      </c>
      <c r="B45" t="s">
        <v>407</v>
      </c>
      <c r="C45">
        <v>2023</v>
      </c>
      <c r="D45" t="s">
        <v>408</v>
      </c>
      <c r="E45" t="s">
        <v>321</v>
      </c>
      <c r="F45" t="s">
        <v>17</v>
      </c>
      <c r="G45" t="s">
        <v>409</v>
      </c>
      <c r="H45" t="s">
        <v>410</v>
      </c>
      <c r="I45" t="s">
        <v>411</v>
      </c>
      <c r="J45">
        <v>0</v>
      </c>
      <c r="K45">
        <v>0</v>
      </c>
      <c r="L45" t="s">
        <v>29</v>
      </c>
    </row>
    <row r="46" spans="1:12" ht="14" x14ac:dyDescent="0.15">
      <c r="A46" t="s">
        <v>412</v>
      </c>
      <c r="B46" t="s">
        <v>413</v>
      </c>
      <c r="C46">
        <v>2023</v>
      </c>
      <c r="D46" t="s">
        <v>414</v>
      </c>
      <c r="E46" t="s">
        <v>321</v>
      </c>
      <c r="F46" t="s">
        <v>75</v>
      </c>
      <c r="G46" t="s">
        <v>415</v>
      </c>
      <c r="H46" t="s">
        <v>416</v>
      </c>
      <c r="I46" t="s">
        <v>417</v>
      </c>
      <c r="J46">
        <v>0</v>
      </c>
      <c r="K46">
        <v>0</v>
      </c>
      <c r="L46" t="s">
        <v>29</v>
      </c>
    </row>
    <row r="47" spans="1:12" ht="14" x14ac:dyDescent="0.15">
      <c r="A47" t="s">
        <v>418</v>
      </c>
      <c r="B47" t="s">
        <v>419</v>
      </c>
      <c r="C47">
        <v>2023</v>
      </c>
      <c r="D47" t="s">
        <v>420</v>
      </c>
      <c r="E47" t="s">
        <v>321</v>
      </c>
      <c r="F47" t="s">
        <v>17</v>
      </c>
      <c r="G47" t="s">
        <v>421</v>
      </c>
      <c r="H47" t="s">
        <v>422</v>
      </c>
      <c r="I47" t="s">
        <v>423</v>
      </c>
      <c r="J47">
        <v>0</v>
      </c>
      <c r="K47">
        <v>0</v>
      </c>
      <c r="L47" t="s">
        <v>29</v>
      </c>
    </row>
    <row r="48" spans="1:12" ht="14" x14ac:dyDescent="0.15">
      <c r="A48" t="s">
        <v>542</v>
      </c>
      <c r="B48" t="s">
        <v>543</v>
      </c>
      <c r="C48">
        <v>2020</v>
      </c>
      <c r="D48" t="s">
        <v>25</v>
      </c>
      <c r="E48" t="s">
        <v>321</v>
      </c>
      <c r="F48" t="s">
        <v>75</v>
      </c>
      <c r="G48" t="s">
        <v>544</v>
      </c>
      <c r="H48" t="s">
        <v>545</v>
      </c>
      <c r="I48" t="s">
        <v>546</v>
      </c>
      <c r="J48">
        <v>0</v>
      </c>
      <c r="K48">
        <v>0</v>
      </c>
      <c r="L48" t="s">
        <v>29</v>
      </c>
    </row>
    <row r="49" spans="1:12" ht="14" x14ac:dyDescent="0.15">
      <c r="A49" t="s">
        <v>536</v>
      </c>
      <c r="B49" t="s">
        <v>537</v>
      </c>
      <c r="C49">
        <v>2020</v>
      </c>
      <c r="D49" t="s">
        <v>538</v>
      </c>
      <c r="E49" t="s">
        <v>321</v>
      </c>
      <c r="F49" t="s">
        <v>75</v>
      </c>
      <c r="G49" t="s">
        <v>539</v>
      </c>
      <c r="H49" t="s">
        <v>540</v>
      </c>
      <c r="I49" t="s">
        <v>541</v>
      </c>
      <c r="J49">
        <v>0</v>
      </c>
      <c r="K49">
        <v>0</v>
      </c>
      <c r="L49" t="s">
        <v>29</v>
      </c>
    </row>
    <row r="50" spans="1:12" ht="14" x14ac:dyDescent="0.15">
      <c r="A50" t="s">
        <v>430</v>
      </c>
      <c r="B50" t="s">
        <v>431</v>
      </c>
      <c r="C50">
        <v>2023</v>
      </c>
      <c r="D50" t="s">
        <v>315</v>
      </c>
      <c r="E50" t="s">
        <v>321</v>
      </c>
      <c r="F50" t="s">
        <v>32</v>
      </c>
      <c r="G50" t="s">
        <v>432</v>
      </c>
      <c r="H50" t="s">
        <v>433</v>
      </c>
      <c r="I50" t="s">
        <v>434</v>
      </c>
      <c r="J50">
        <v>0</v>
      </c>
      <c r="K50">
        <v>0</v>
      </c>
      <c r="L50" t="s">
        <v>29</v>
      </c>
    </row>
    <row r="51" spans="1:12" ht="14" x14ac:dyDescent="0.15">
      <c r="A51" t="s">
        <v>530</v>
      </c>
      <c r="B51" t="s">
        <v>531</v>
      </c>
      <c r="C51">
        <v>2020</v>
      </c>
      <c r="D51" t="s">
        <v>532</v>
      </c>
      <c r="E51" t="s">
        <v>321</v>
      </c>
      <c r="F51" t="s">
        <v>75</v>
      </c>
      <c r="G51" t="s">
        <v>533</v>
      </c>
      <c r="H51" t="s">
        <v>534</v>
      </c>
      <c r="I51" t="s">
        <v>535</v>
      </c>
      <c r="J51">
        <v>0</v>
      </c>
      <c r="K51">
        <v>0</v>
      </c>
      <c r="L51" t="s">
        <v>29</v>
      </c>
    </row>
    <row r="52" spans="1:12" ht="14" x14ac:dyDescent="0.15">
      <c r="A52" t="s">
        <v>439</v>
      </c>
      <c r="B52" t="s">
        <v>440</v>
      </c>
      <c r="C52">
        <v>2022</v>
      </c>
      <c r="D52" t="s">
        <v>441</v>
      </c>
      <c r="E52" t="s">
        <v>321</v>
      </c>
      <c r="F52" t="s">
        <v>75</v>
      </c>
      <c r="G52" t="s">
        <v>170</v>
      </c>
      <c r="H52" t="s">
        <v>442</v>
      </c>
      <c r="I52" t="s">
        <v>443</v>
      </c>
      <c r="J52">
        <v>0</v>
      </c>
      <c r="K52">
        <v>0</v>
      </c>
      <c r="L52" t="s">
        <v>29</v>
      </c>
    </row>
    <row r="53" spans="1:12" ht="14" x14ac:dyDescent="0.15">
      <c r="A53" t="s">
        <v>444</v>
      </c>
      <c r="B53" t="s">
        <v>445</v>
      </c>
      <c r="C53">
        <v>2022</v>
      </c>
      <c r="D53" t="s">
        <v>25</v>
      </c>
      <c r="E53" t="s">
        <v>321</v>
      </c>
      <c r="F53" t="s">
        <v>17</v>
      </c>
      <c r="G53" t="s">
        <v>446</v>
      </c>
      <c r="H53" t="s">
        <v>447</v>
      </c>
      <c r="I53" t="s">
        <v>448</v>
      </c>
      <c r="J53">
        <v>0</v>
      </c>
      <c r="K53">
        <v>0</v>
      </c>
      <c r="L53" t="s">
        <v>29</v>
      </c>
    </row>
    <row r="54" spans="1:12" ht="14" x14ac:dyDescent="0.15">
      <c r="A54" t="s">
        <v>449</v>
      </c>
      <c r="B54" t="s">
        <v>450</v>
      </c>
      <c r="C54">
        <v>2022</v>
      </c>
      <c r="D54" t="s">
        <v>25</v>
      </c>
      <c r="E54" t="s">
        <v>321</v>
      </c>
      <c r="F54" t="s">
        <v>75</v>
      </c>
      <c r="G54" t="s">
        <v>451</v>
      </c>
      <c r="H54" t="s">
        <v>452</v>
      </c>
      <c r="I54" t="s">
        <v>453</v>
      </c>
      <c r="J54">
        <v>0</v>
      </c>
      <c r="K54">
        <v>0</v>
      </c>
      <c r="L54" t="s">
        <v>29</v>
      </c>
    </row>
    <row r="55" spans="1:12" ht="14" x14ac:dyDescent="0.15">
      <c r="A55" t="s">
        <v>454</v>
      </c>
      <c r="B55" t="s">
        <v>455</v>
      </c>
      <c r="C55">
        <v>2022</v>
      </c>
      <c r="D55" t="s">
        <v>456</v>
      </c>
      <c r="E55" t="s">
        <v>321</v>
      </c>
      <c r="F55" t="s">
        <v>75</v>
      </c>
      <c r="G55" t="s">
        <v>457</v>
      </c>
      <c r="H55" t="s">
        <v>458</v>
      </c>
      <c r="I55" t="s">
        <v>459</v>
      </c>
      <c r="J55">
        <v>0</v>
      </c>
      <c r="K55">
        <v>0</v>
      </c>
      <c r="L55" t="s">
        <v>29</v>
      </c>
    </row>
    <row r="56" spans="1:12" ht="14" x14ac:dyDescent="0.15">
      <c r="A56" t="s">
        <v>460</v>
      </c>
      <c r="B56" t="s">
        <v>461</v>
      </c>
      <c r="C56">
        <v>2022</v>
      </c>
      <c r="D56" t="s">
        <v>25</v>
      </c>
      <c r="E56" t="s">
        <v>321</v>
      </c>
      <c r="F56" t="s">
        <v>75</v>
      </c>
      <c r="G56" t="s">
        <v>462</v>
      </c>
      <c r="H56" t="s">
        <v>463</v>
      </c>
      <c r="I56" t="s">
        <v>464</v>
      </c>
      <c r="J56">
        <v>0</v>
      </c>
      <c r="K56">
        <v>0</v>
      </c>
      <c r="L56" t="s">
        <v>29</v>
      </c>
    </row>
    <row r="57" spans="1:12" ht="14" x14ac:dyDescent="0.15">
      <c r="A57" t="s">
        <v>465</v>
      </c>
      <c r="B57" t="s">
        <v>466</v>
      </c>
      <c r="C57">
        <v>2022</v>
      </c>
      <c r="D57" t="s">
        <v>467</v>
      </c>
      <c r="E57" t="s">
        <v>321</v>
      </c>
      <c r="F57" t="s">
        <v>75</v>
      </c>
      <c r="G57" t="s">
        <v>468</v>
      </c>
      <c r="H57" t="s">
        <v>469</v>
      </c>
      <c r="I57" t="s">
        <v>470</v>
      </c>
      <c r="J57">
        <v>0</v>
      </c>
      <c r="K57">
        <v>0</v>
      </c>
      <c r="L57" t="s">
        <v>29</v>
      </c>
    </row>
    <row r="58" spans="1:12" ht="14" x14ac:dyDescent="0.15">
      <c r="A58" t="s">
        <v>471</v>
      </c>
      <c r="B58" t="s">
        <v>472</v>
      </c>
      <c r="C58">
        <v>2022</v>
      </c>
      <c r="D58" t="s">
        <v>420</v>
      </c>
      <c r="E58" t="s">
        <v>321</v>
      </c>
      <c r="F58" t="s">
        <v>32</v>
      </c>
      <c r="G58" t="s">
        <v>473</v>
      </c>
      <c r="H58" t="s">
        <v>474</v>
      </c>
      <c r="I58" t="s">
        <v>475</v>
      </c>
      <c r="J58">
        <v>0</v>
      </c>
      <c r="K58">
        <v>0</v>
      </c>
      <c r="L58" t="s">
        <v>29</v>
      </c>
    </row>
    <row r="59" spans="1:12" ht="14" x14ac:dyDescent="0.15">
      <c r="A59" t="s">
        <v>476</v>
      </c>
      <c r="B59" t="s">
        <v>477</v>
      </c>
      <c r="C59">
        <v>2021</v>
      </c>
      <c r="D59" t="s">
        <v>143</v>
      </c>
      <c r="E59" t="s">
        <v>321</v>
      </c>
      <c r="F59" t="s">
        <v>75</v>
      </c>
      <c r="G59" t="s">
        <v>478</v>
      </c>
      <c r="H59" t="s">
        <v>479</v>
      </c>
      <c r="I59" t="s">
        <v>480</v>
      </c>
      <c r="J59">
        <v>0</v>
      </c>
      <c r="K59">
        <v>0</v>
      </c>
      <c r="L59" t="s">
        <v>29</v>
      </c>
    </row>
    <row r="60" spans="1:12" ht="14" x14ac:dyDescent="0.15">
      <c r="A60" t="s">
        <v>481</v>
      </c>
      <c r="B60" t="s">
        <v>482</v>
      </c>
      <c r="C60">
        <v>2021</v>
      </c>
      <c r="D60" t="s">
        <v>483</v>
      </c>
      <c r="E60" t="s">
        <v>321</v>
      </c>
      <c r="F60" t="s">
        <v>75</v>
      </c>
      <c r="G60" t="s">
        <v>484</v>
      </c>
      <c r="H60" t="s">
        <v>485</v>
      </c>
      <c r="I60" t="s">
        <v>486</v>
      </c>
      <c r="J60">
        <v>0</v>
      </c>
      <c r="K60">
        <v>0</v>
      </c>
      <c r="L60" t="s">
        <v>29</v>
      </c>
    </row>
    <row r="61" spans="1:12" ht="14" x14ac:dyDescent="0.15">
      <c r="A61" t="s">
        <v>487</v>
      </c>
      <c r="B61" t="s">
        <v>488</v>
      </c>
      <c r="C61">
        <v>2021</v>
      </c>
      <c r="D61" t="s">
        <v>126</v>
      </c>
      <c r="E61" t="s">
        <v>321</v>
      </c>
      <c r="F61" t="s">
        <v>17</v>
      </c>
      <c r="G61" t="s">
        <v>489</v>
      </c>
      <c r="H61" t="s">
        <v>490</v>
      </c>
      <c r="I61" t="s">
        <v>491</v>
      </c>
      <c r="J61">
        <v>0</v>
      </c>
      <c r="K61">
        <v>0</v>
      </c>
      <c r="L61" t="s">
        <v>29</v>
      </c>
    </row>
    <row r="62" spans="1:12" ht="14" x14ac:dyDescent="0.15">
      <c r="A62" t="s">
        <v>525</v>
      </c>
      <c r="B62" t="s">
        <v>526</v>
      </c>
      <c r="C62">
        <v>2020</v>
      </c>
      <c r="D62" t="s">
        <v>25</v>
      </c>
      <c r="E62" t="s">
        <v>321</v>
      </c>
      <c r="F62" t="s">
        <v>75</v>
      </c>
      <c r="G62" t="s">
        <v>527</v>
      </c>
      <c r="H62" t="s">
        <v>528</v>
      </c>
      <c r="I62" t="s">
        <v>529</v>
      </c>
      <c r="J62">
        <v>0</v>
      </c>
      <c r="K62">
        <v>0</v>
      </c>
      <c r="L62" t="s">
        <v>29</v>
      </c>
    </row>
    <row r="63" spans="1:12" ht="14" x14ac:dyDescent="0.15">
      <c r="A63" t="s">
        <v>495</v>
      </c>
      <c r="B63" t="s">
        <v>496</v>
      </c>
      <c r="C63">
        <v>2021</v>
      </c>
      <c r="D63" t="s">
        <v>25</v>
      </c>
      <c r="E63" t="s">
        <v>321</v>
      </c>
      <c r="F63" t="s">
        <v>17</v>
      </c>
      <c r="G63" t="s">
        <v>497</v>
      </c>
      <c r="H63" t="s">
        <v>498</v>
      </c>
      <c r="I63" t="s">
        <v>499</v>
      </c>
      <c r="J63">
        <v>0</v>
      </c>
      <c r="K63">
        <v>0</v>
      </c>
      <c r="L63" t="s">
        <v>29</v>
      </c>
    </row>
    <row r="64" spans="1:12" ht="14" x14ac:dyDescent="0.15">
      <c r="A64" t="s">
        <v>634</v>
      </c>
      <c r="B64" t="s">
        <v>635</v>
      </c>
      <c r="C64">
        <v>2010</v>
      </c>
      <c r="D64" t="s">
        <v>187</v>
      </c>
      <c r="E64" t="s">
        <v>599</v>
      </c>
      <c r="F64" t="s">
        <v>75</v>
      </c>
      <c r="G64" t="s">
        <v>636</v>
      </c>
      <c r="H64" t="s">
        <v>637</v>
      </c>
      <c r="J64">
        <v>0</v>
      </c>
      <c r="K64">
        <v>1</v>
      </c>
      <c r="L64" t="s">
        <v>78</v>
      </c>
    </row>
    <row r="65" spans="1:12" ht="14" x14ac:dyDescent="0.15">
      <c r="A65" t="s">
        <v>630</v>
      </c>
      <c r="B65" t="s">
        <v>631</v>
      </c>
      <c r="C65">
        <v>2017</v>
      </c>
      <c r="D65" t="s">
        <v>559</v>
      </c>
      <c r="E65" t="s">
        <v>599</v>
      </c>
      <c r="F65" t="s">
        <v>17</v>
      </c>
      <c r="G65" t="s">
        <v>389</v>
      </c>
      <c r="H65" t="s">
        <v>632</v>
      </c>
      <c r="I65" t="s">
        <v>633</v>
      </c>
      <c r="J65">
        <v>0</v>
      </c>
      <c r="K65">
        <v>0</v>
      </c>
      <c r="L65" t="s">
        <v>29</v>
      </c>
    </row>
    <row r="66" spans="1:12" ht="14" x14ac:dyDescent="0.15">
      <c r="A66" t="s">
        <v>625</v>
      </c>
      <c r="B66" t="s">
        <v>626</v>
      </c>
      <c r="C66">
        <v>2020</v>
      </c>
      <c r="D66" t="s">
        <v>559</v>
      </c>
      <c r="E66" t="s">
        <v>599</v>
      </c>
      <c r="F66" t="s">
        <v>17</v>
      </c>
      <c r="G66" t="s">
        <v>627</v>
      </c>
      <c r="H66" t="s">
        <v>628</v>
      </c>
      <c r="I66" t="s">
        <v>629</v>
      </c>
      <c r="J66">
        <v>0</v>
      </c>
      <c r="K66">
        <v>0</v>
      </c>
      <c r="L66" t="s">
        <v>29</v>
      </c>
    </row>
    <row r="67" spans="1:12" ht="14" x14ac:dyDescent="0.15">
      <c r="A67" t="s">
        <v>620</v>
      </c>
      <c r="B67" t="s">
        <v>621</v>
      </c>
      <c r="C67">
        <v>2022</v>
      </c>
      <c r="D67" t="s">
        <v>622</v>
      </c>
      <c r="E67" t="s">
        <v>599</v>
      </c>
      <c r="F67" t="s">
        <v>32</v>
      </c>
      <c r="G67" t="s">
        <v>45</v>
      </c>
      <c r="H67" t="s">
        <v>623</v>
      </c>
      <c r="I67" t="s">
        <v>624</v>
      </c>
      <c r="J67">
        <v>0</v>
      </c>
      <c r="K67">
        <v>0</v>
      </c>
      <c r="L67" t="s">
        <v>29</v>
      </c>
    </row>
    <row r="68" spans="1:12" ht="14" x14ac:dyDescent="0.15">
      <c r="A68" t="s">
        <v>615</v>
      </c>
      <c r="B68" t="s">
        <v>616</v>
      </c>
      <c r="C68">
        <v>2023</v>
      </c>
      <c r="D68" t="s">
        <v>25</v>
      </c>
      <c r="E68" t="s">
        <v>599</v>
      </c>
      <c r="F68" t="s">
        <v>32</v>
      </c>
      <c r="G68" t="s">
        <v>617</v>
      </c>
      <c r="H68" t="s">
        <v>618</v>
      </c>
      <c r="I68" t="s">
        <v>619</v>
      </c>
      <c r="J68">
        <v>1</v>
      </c>
      <c r="K68">
        <v>0</v>
      </c>
      <c r="L68" t="s">
        <v>29</v>
      </c>
    </row>
    <row r="69" spans="1:12" ht="14" x14ac:dyDescent="0.15">
      <c r="A69" t="s">
        <v>610</v>
      </c>
      <c r="B69" t="s">
        <v>611</v>
      </c>
      <c r="C69">
        <v>2024</v>
      </c>
      <c r="D69" t="s">
        <v>25</v>
      </c>
      <c r="E69" t="s">
        <v>599</v>
      </c>
      <c r="F69" t="s">
        <v>32</v>
      </c>
      <c r="G69" t="s">
        <v>612</v>
      </c>
      <c r="H69" t="s">
        <v>613</v>
      </c>
      <c r="I69" t="s">
        <v>614</v>
      </c>
      <c r="J69">
        <v>1</v>
      </c>
      <c r="K69">
        <v>0</v>
      </c>
      <c r="L69" t="s">
        <v>29</v>
      </c>
    </row>
    <row r="70" spans="1:12" ht="14" x14ac:dyDescent="0.15">
      <c r="A70" t="s">
        <v>604</v>
      </c>
      <c r="B70" t="s">
        <v>605</v>
      </c>
      <c r="C70">
        <v>2024</v>
      </c>
      <c r="D70" t="s">
        <v>606</v>
      </c>
      <c r="E70" t="s">
        <v>599</v>
      </c>
      <c r="F70" t="s">
        <v>75</v>
      </c>
      <c r="G70" t="s">
        <v>607</v>
      </c>
      <c r="H70" t="s">
        <v>608</v>
      </c>
      <c r="I70" t="s">
        <v>609</v>
      </c>
      <c r="J70">
        <v>0</v>
      </c>
      <c r="K70">
        <v>0</v>
      </c>
      <c r="L70" t="s">
        <v>29</v>
      </c>
    </row>
    <row r="71" spans="1:12" ht="14" x14ac:dyDescent="0.15">
      <c r="A71" t="s">
        <v>940</v>
      </c>
      <c r="B71" t="s">
        <v>941</v>
      </c>
      <c r="C71">
        <v>2023</v>
      </c>
      <c r="D71" t="s">
        <v>942</v>
      </c>
      <c r="E71" t="s">
        <v>640</v>
      </c>
      <c r="F71" t="s">
        <v>32</v>
      </c>
      <c r="H71" t="s">
        <v>943</v>
      </c>
      <c r="I71" t="s">
        <v>944</v>
      </c>
      <c r="J71">
        <v>0</v>
      </c>
      <c r="K71">
        <v>0</v>
      </c>
      <c r="L71" t="s">
        <v>19</v>
      </c>
    </row>
    <row r="72" spans="1:12" ht="14" x14ac:dyDescent="0.15">
      <c r="A72" t="s">
        <v>928</v>
      </c>
      <c r="B72" t="s">
        <v>929</v>
      </c>
      <c r="C72">
        <v>2024</v>
      </c>
      <c r="D72" t="s">
        <v>315</v>
      </c>
      <c r="E72" t="s">
        <v>640</v>
      </c>
      <c r="F72" t="s">
        <v>32</v>
      </c>
      <c r="G72" t="s">
        <v>930</v>
      </c>
      <c r="H72" t="s">
        <v>931</v>
      </c>
      <c r="I72" t="s">
        <v>932</v>
      </c>
      <c r="J72">
        <v>0</v>
      </c>
      <c r="K72">
        <v>1</v>
      </c>
      <c r="L72" t="s">
        <v>29</v>
      </c>
    </row>
    <row r="73" spans="1:12" ht="14" x14ac:dyDescent="0.15">
      <c r="A73" t="s">
        <v>890</v>
      </c>
      <c r="B73" t="s">
        <v>891</v>
      </c>
      <c r="C73">
        <v>2024</v>
      </c>
      <c r="D73" t="s">
        <v>315</v>
      </c>
      <c r="E73" t="s">
        <v>640</v>
      </c>
      <c r="F73" t="s">
        <v>75</v>
      </c>
      <c r="G73" t="s">
        <v>892</v>
      </c>
      <c r="H73" t="s">
        <v>893</v>
      </c>
      <c r="I73" t="s">
        <v>894</v>
      </c>
      <c r="J73">
        <v>0</v>
      </c>
      <c r="K73">
        <v>0</v>
      </c>
      <c r="L73" t="s">
        <v>29</v>
      </c>
    </row>
    <row r="74" spans="1:12" ht="14" x14ac:dyDescent="0.15">
      <c r="A74" t="s">
        <v>881</v>
      </c>
      <c r="B74" t="s">
        <v>882</v>
      </c>
      <c r="C74">
        <v>2024</v>
      </c>
      <c r="D74" t="s">
        <v>883</v>
      </c>
      <c r="E74" t="s">
        <v>640</v>
      </c>
      <c r="F74" t="s">
        <v>75</v>
      </c>
      <c r="G74" t="s">
        <v>884</v>
      </c>
      <c r="H74" t="s">
        <v>885</v>
      </c>
      <c r="I74" t="s">
        <v>886</v>
      </c>
      <c r="J74">
        <v>1</v>
      </c>
      <c r="K74">
        <v>0</v>
      </c>
      <c r="L74" t="s">
        <v>29</v>
      </c>
    </row>
    <row r="75" spans="1:12" ht="14" x14ac:dyDescent="0.15">
      <c r="A75" t="s">
        <v>853</v>
      </c>
      <c r="B75" t="s">
        <v>854</v>
      </c>
      <c r="C75">
        <v>2025</v>
      </c>
      <c r="D75" t="s">
        <v>855</v>
      </c>
      <c r="E75" t="s">
        <v>640</v>
      </c>
      <c r="F75" t="s">
        <v>32</v>
      </c>
      <c r="G75" t="s">
        <v>856</v>
      </c>
      <c r="H75" t="s">
        <v>857</v>
      </c>
      <c r="I75" t="s">
        <v>858</v>
      </c>
      <c r="J75">
        <v>1</v>
      </c>
      <c r="K75">
        <v>0</v>
      </c>
      <c r="L75" t="s">
        <v>29</v>
      </c>
    </row>
    <row r="76" spans="1:12" ht="14" x14ac:dyDescent="0.15">
      <c r="A76" t="s">
        <v>848</v>
      </c>
      <c r="B76" t="s">
        <v>849</v>
      </c>
      <c r="C76">
        <v>2025</v>
      </c>
      <c r="D76" t="s">
        <v>25</v>
      </c>
      <c r="E76" t="s">
        <v>640</v>
      </c>
      <c r="F76" t="s">
        <v>32</v>
      </c>
      <c r="G76" t="s">
        <v>850</v>
      </c>
      <c r="H76" t="s">
        <v>851</v>
      </c>
      <c r="I76" t="s">
        <v>852</v>
      </c>
      <c r="J76">
        <v>1</v>
      </c>
      <c r="K76">
        <v>0</v>
      </c>
      <c r="L76" t="s">
        <v>29</v>
      </c>
    </row>
    <row r="77" spans="1:12" ht="14" x14ac:dyDescent="0.15">
      <c r="A77" t="s">
        <v>843</v>
      </c>
      <c r="B77" t="s">
        <v>844</v>
      </c>
      <c r="C77">
        <v>2025</v>
      </c>
      <c r="D77" t="s">
        <v>25</v>
      </c>
      <c r="E77" t="s">
        <v>640</v>
      </c>
      <c r="F77" t="s">
        <v>32</v>
      </c>
      <c r="G77" t="s">
        <v>845</v>
      </c>
      <c r="H77" t="s">
        <v>846</v>
      </c>
      <c r="I77" t="s">
        <v>847</v>
      </c>
      <c r="J77">
        <v>1</v>
      </c>
      <c r="K77">
        <v>0</v>
      </c>
      <c r="L77" t="s">
        <v>29</v>
      </c>
    </row>
    <row r="78" spans="1:12" ht="14" x14ac:dyDescent="0.15">
      <c r="A78" t="s">
        <v>835</v>
      </c>
      <c r="B78" t="s">
        <v>836</v>
      </c>
      <c r="C78">
        <v>2025</v>
      </c>
      <c r="D78" t="s">
        <v>837</v>
      </c>
      <c r="E78" t="s">
        <v>640</v>
      </c>
      <c r="F78" t="s">
        <v>32</v>
      </c>
      <c r="G78" t="s">
        <v>400</v>
      </c>
      <c r="H78" t="s">
        <v>838</v>
      </c>
      <c r="I78" t="s">
        <v>839</v>
      </c>
      <c r="J78">
        <v>0</v>
      </c>
      <c r="K78">
        <v>0</v>
      </c>
      <c r="L78" t="s">
        <v>29</v>
      </c>
    </row>
    <row r="79" spans="1:12" ht="14" x14ac:dyDescent="0.15">
      <c r="A79" t="s">
        <v>829</v>
      </c>
      <c r="B79" t="s">
        <v>830</v>
      </c>
      <c r="C79">
        <v>2025</v>
      </c>
      <c r="D79" t="s">
        <v>831</v>
      </c>
      <c r="E79" t="s">
        <v>640</v>
      </c>
      <c r="F79" t="s">
        <v>32</v>
      </c>
      <c r="G79" t="s">
        <v>832</v>
      </c>
      <c r="H79" t="s">
        <v>833</v>
      </c>
      <c r="I79" t="s">
        <v>834</v>
      </c>
      <c r="J79">
        <v>1</v>
      </c>
      <c r="K79">
        <v>0</v>
      </c>
      <c r="L79" t="s">
        <v>29</v>
      </c>
    </row>
    <row r="80" spans="1:12" ht="14" x14ac:dyDescent="0.15">
      <c r="A80" t="s">
        <v>820</v>
      </c>
      <c r="B80" t="s">
        <v>821</v>
      </c>
      <c r="C80">
        <v>2025</v>
      </c>
      <c r="D80" t="s">
        <v>315</v>
      </c>
      <c r="E80" t="s">
        <v>640</v>
      </c>
      <c r="F80" t="s">
        <v>32</v>
      </c>
      <c r="G80" t="s">
        <v>45</v>
      </c>
      <c r="H80" t="s">
        <v>822</v>
      </c>
      <c r="I80" t="s">
        <v>823</v>
      </c>
      <c r="J80">
        <v>0</v>
      </c>
      <c r="K80">
        <v>0</v>
      </c>
      <c r="L80" t="s">
        <v>29</v>
      </c>
    </row>
    <row r="81" spans="1:12" ht="14" x14ac:dyDescent="0.15">
      <c r="A81" t="s">
        <v>816</v>
      </c>
      <c r="B81" t="s">
        <v>817</v>
      </c>
      <c r="C81">
        <v>2025</v>
      </c>
      <c r="D81" t="s">
        <v>175</v>
      </c>
      <c r="E81" t="s">
        <v>640</v>
      </c>
      <c r="F81" t="s">
        <v>32</v>
      </c>
      <c r="G81" t="s">
        <v>132</v>
      </c>
      <c r="H81" t="s">
        <v>818</v>
      </c>
      <c r="I81" t="s">
        <v>819</v>
      </c>
      <c r="J81">
        <v>0</v>
      </c>
      <c r="K81">
        <v>0</v>
      </c>
      <c r="L81" t="s">
        <v>29</v>
      </c>
    </row>
    <row r="82" spans="1:12" ht="14" x14ac:dyDescent="0.15">
      <c r="A82" t="s">
        <v>809</v>
      </c>
      <c r="B82" t="s">
        <v>810</v>
      </c>
      <c r="C82">
        <v>2025</v>
      </c>
      <c r="D82" t="s">
        <v>315</v>
      </c>
      <c r="E82" t="s">
        <v>640</v>
      </c>
      <c r="F82" t="s">
        <v>32</v>
      </c>
      <c r="G82" t="s">
        <v>26</v>
      </c>
      <c r="H82" t="s">
        <v>811</v>
      </c>
      <c r="I82" t="s">
        <v>812</v>
      </c>
      <c r="J82">
        <v>0</v>
      </c>
      <c r="K82">
        <v>0</v>
      </c>
      <c r="L82" t="s">
        <v>29</v>
      </c>
    </row>
    <row r="83" spans="1:12" ht="14" x14ac:dyDescent="0.15">
      <c r="A83" t="s">
        <v>796</v>
      </c>
      <c r="B83" t="s">
        <v>797</v>
      </c>
      <c r="C83">
        <v>2025</v>
      </c>
      <c r="D83" t="s">
        <v>549</v>
      </c>
      <c r="E83" t="s">
        <v>640</v>
      </c>
      <c r="F83" t="s">
        <v>32</v>
      </c>
      <c r="G83" t="s">
        <v>26</v>
      </c>
      <c r="H83" t="s">
        <v>798</v>
      </c>
      <c r="I83" t="s">
        <v>799</v>
      </c>
      <c r="J83">
        <v>1</v>
      </c>
      <c r="K83">
        <v>0</v>
      </c>
      <c r="L83" t="s">
        <v>29</v>
      </c>
    </row>
    <row r="84" spans="1:12" ht="14" x14ac:dyDescent="0.15">
      <c r="A84" t="s">
        <v>792</v>
      </c>
      <c r="B84" t="s">
        <v>793</v>
      </c>
      <c r="C84">
        <v>2025</v>
      </c>
      <c r="D84" t="s">
        <v>315</v>
      </c>
      <c r="E84" t="s">
        <v>640</v>
      </c>
      <c r="F84" t="s">
        <v>75</v>
      </c>
      <c r="G84" t="s">
        <v>771</v>
      </c>
      <c r="H84" t="s">
        <v>794</v>
      </c>
      <c r="I84" t="s">
        <v>795</v>
      </c>
      <c r="J84">
        <v>0</v>
      </c>
      <c r="K84">
        <v>1</v>
      </c>
      <c r="L84" t="s">
        <v>29</v>
      </c>
    </row>
    <row r="85" spans="1:12" ht="14" x14ac:dyDescent="0.15">
      <c r="A85" t="s">
        <v>788</v>
      </c>
      <c r="B85" t="s">
        <v>736</v>
      </c>
      <c r="C85">
        <v>2025</v>
      </c>
      <c r="D85" t="s">
        <v>789</v>
      </c>
      <c r="E85" t="s">
        <v>640</v>
      </c>
      <c r="F85" t="s">
        <v>17</v>
      </c>
      <c r="G85" t="s">
        <v>771</v>
      </c>
      <c r="H85" t="s">
        <v>790</v>
      </c>
      <c r="I85" t="s">
        <v>791</v>
      </c>
      <c r="J85">
        <v>0</v>
      </c>
      <c r="K85">
        <v>0</v>
      </c>
      <c r="L85" t="s">
        <v>29</v>
      </c>
    </row>
    <row r="86" spans="1:12" ht="14" x14ac:dyDescent="0.15">
      <c r="A86" t="s">
        <v>768</v>
      </c>
      <c r="B86" t="s">
        <v>769</v>
      </c>
      <c r="C86">
        <v>2025</v>
      </c>
      <c r="D86" t="s">
        <v>770</v>
      </c>
      <c r="E86" t="s">
        <v>640</v>
      </c>
      <c r="F86" t="s">
        <v>75</v>
      </c>
      <c r="G86" t="s">
        <v>771</v>
      </c>
      <c r="H86" t="s">
        <v>772</v>
      </c>
      <c r="I86" t="s">
        <v>773</v>
      </c>
      <c r="J86">
        <v>0</v>
      </c>
      <c r="K86">
        <v>0</v>
      </c>
      <c r="L86" t="s">
        <v>29</v>
      </c>
    </row>
    <row r="87" spans="1:12" ht="14" x14ac:dyDescent="0.15">
      <c r="A87" t="s">
        <v>758</v>
      </c>
      <c r="B87" t="s">
        <v>759</v>
      </c>
      <c r="C87">
        <v>2025</v>
      </c>
      <c r="D87" t="s">
        <v>268</v>
      </c>
      <c r="E87" t="s">
        <v>640</v>
      </c>
      <c r="F87" t="s">
        <v>75</v>
      </c>
      <c r="G87" t="s">
        <v>188</v>
      </c>
      <c r="H87" t="s">
        <v>760</v>
      </c>
      <c r="I87" t="s">
        <v>761</v>
      </c>
      <c r="J87">
        <v>0</v>
      </c>
      <c r="K87">
        <v>0</v>
      </c>
      <c r="L87" t="s">
        <v>29</v>
      </c>
    </row>
    <row r="88" spans="1:12" ht="14" x14ac:dyDescent="0.15">
      <c r="A88" t="s">
        <v>748</v>
      </c>
      <c r="B88" t="s">
        <v>749</v>
      </c>
      <c r="C88">
        <v>2025</v>
      </c>
      <c r="D88" t="s">
        <v>25</v>
      </c>
      <c r="E88" t="s">
        <v>640</v>
      </c>
      <c r="F88" t="s">
        <v>75</v>
      </c>
      <c r="G88" t="s">
        <v>415</v>
      </c>
      <c r="H88" t="s">
        <v>750</v>
      </c>
      <c r="I88" t="s">
        <v>751</v>
      </c>
      <c r="J88">
        <v>0</v>
      </c>
      <c r="K88">
        <v>0</v>
      </c>
      <c r="L88" t="s">
        <v>29</v>
      </c>
    </row>
    <row r="89" spans="1:12" ht="14" x14ac:dyDescent="0.15">
      <c r="A89" t="s">
        <v>740</v>
      </c>
      <c r="B89" t="s">
        <v>741</v>
      </c>
      <c r="C89">
        <v>2025</v>
      </c>
      <c r="D89" t="s">
        <v>742</v>
      </c>
      <c r="E89" t="s">
        <v>640</v>
      </c>
      <c r="F89" t="s">
        <v>17</v>
      </c>
      <c r="G89" t="s">
        <v>122</v>
      </c>
      <c r="H89" t="s">
        <v>743</v>
      </c>
      <c r="I89" t="s">
        <v>744</v>
      </c>
      <c r="J89">
        <v>1</v>
      </c>
      <c r="K89">
        <v>0</v>
      </c>
      <c r="L89" t="s">
        <v>29</v>
      </c>
    </row>
    <row r="90" spans="1:12" ht="14" x14ac:dyDescent="0.15">
      <c r="A90" t="s">
        <v>735</v>
      </c>
      <c r="B90" t="s">
        <v>736</v>
      </c>
      <c r="C90">
        <v>2025</v>
      </c>
      <c r="D90" t="s">
        <v>737</v>
      </c>
      <c r="E90" t="s">
        <v>640</v>
      </c>
      <c r="F90" t="s">
        <v>75</v>
      </c>
      <c r="G90" t="s">
        <v>86</v>
      </c>
      <c r="H90" t="s">
        <v>738</v>
      </c>
      <c r="I90" t="s">
        <v>739</v>
      </c>
      <c r="J90">
        <v>0</v>
      </c>
      <c r="K90">
        <v>0</v>
      </c>
      <c r="L90" t="s">
        <v>29</v>
      </c>
    </row>
    <row r="91" spans="1:12" ht="14" x14ac:dyDescent="0.15">
      <c r="A91" t="s">
        <v>685</v>
      </c>
      <c r="B91" t="s">
        <v>686</v>
      </c>
      <c r="C91">
        <v>2026</v>
      </c>
      <c r="D91" t="s">
        <v>687</v>
      </c>
      <c r="E91" t="s">
        <v>640</v>
      </c>
      <c r="F91" t="s">
        <v>75</v>
      </c>
      <c r="H91" t="s">
        <v>688</v>
      </c>
      <c r="I91" t="s">
        <v>689</v>
      </c>
      <c r="J91">
        <v>0</v>
      </c>
      <c r="K91">
        <v>0</v>
      </c>
      <c r="L91" t="s">
        <v>19</v>
      </c>
    </row>
    <row r="92" spans="1:12" ht="14" x14ac:dyDescent="0.15">
      <c r="A92" t="s">
        <v>657</v>
      </c>
      <c r="B92" t="s">
        <v>658</v>
      </c>
      <c r="C92">
        <v>2026</v>
      </c>
      <c r="D92" t="s">
        <v>659</v>
      </c>
      <c r="E92" t="s">
        <v>640</v>
      </c>
      <c r="F92" t="s">
        <v>75</v>
      </c>
      <c r="G92" t="s">
        <v>660</v>
      </c>
      <c r="H92" t="s">
        <v>661</v>
      </c>
      <c r="I92" t="s">
        <v>662</v>
      </c>
      <c r="J92">
        <v>0</v>
      </c>
      <c r="K92">
        <v>0</v>
      </c>
      <c r="L92" t="s">
        <v>29</v>
      </c>
    </row>
    <row r="93" spans="1:12" ht="14" x14ac:dyDescent="0.15">
      <c r="A93" t="s">
        <v>1036</v>
      </c>
      <c r="B93" t="s">
        <v>1037</v>
      </c>
      <c r="C93">
        <v>2021</v>
      </c>
      <c r="D93" t="s">
        <v>1038</v>
      </c>
      <c r="E93" t="s">
        <v>957</v>
      </c>
      <c r="F93" t="s">
        <v>75</v>
      </c>
      <c r="G93" t="s">
        <v>1039</v>
      </c>
      <c r="H93" t="s">
        <v>1040</v>
      </c>
      <c r="I93" t="s">
        <v>1041</v>
      </c>
      <c r="J93">
        <v>0</v>
      </c>
      <c r="K93">
        <v>0</v>
      </c>
      <c r="L93" t="s">
        <v>29</v>
      </c>
    </row>
    <row r="94" spans="1:12" ht="14" x14ac:dyDescent="0.15">
      <c r="A94" t="s">
        <v>1028</v>
      </c>
      <c r="B94" t="s">
        <v>1029</v>
      </c>
      <c r="C94">
        <v>2023</v>
      </c>
      <c r="D94" t="s">
        <v>315</v>
      </c>
      <c r="E94" t="s">
        <v>957</v>
      </c>
      <c r="F94" t="s">
        <v>32</v>
      </c>
      <c r="G94" t="s">
        <v>832</v>
      </c>
      <c r="H94" t="s">
        <v>1030</v>
      </c>
      <c r="I94" t="s">
        <v>1031</v>
      </c>
      <c r="J94">
        <v>0</v>
      </c>
      <c r="K94">
        <v>0</v>
      </c>
      <c r="L94" t="s">
        <v>29</v>
      </c>
    </row>
    <row r="95" spans="1:12" ht="14" x14ac:dyDescent="0.15">
      <c r="A95" t="s">
        <v>1020</v>
      </c>
      <c r="B95" t="s">
        <v>1021</v>
      </c>
      <c r="C95">
        <v>2023</v>
      </c>
      <c r="D95" t="s">
        <v>1022</v>
      </c>
      <c r="E95" t="s">
        <v>957</v>
      </c>
      <c r="F95" t="s">
        <v>75</v>
      </c>
      <c r="G95" t="s">
        <v>170</v>
      </c>
      <c r="H95" t="s">
        <v>1023</v>
      </c>
      <c r="I95" t="s">
        <v>1024</v>
      </c>
      <c r="J95">
        <v>0</v>
      </c>
      <c r="K95">
        <v>0</v>
      </c>
      <c r="L95" t="s">
        <v>29</v>
      </c>
    </row>
    <row r="96" spans="1:12" ht="14" x14ac:dyDescent="0.15">
      <c r="A96" t="s">
        <v>1003</v>
      </c>
      <c r="B96" t="s">
        <v>1004</v>
      </c>
      <c r="C96">
        <v>2025</v>
      </c>
      <c r="D96" t="s">
        <v>549</v>
      </c>
      <c r="E96" t="s">
        <v>957</v>
      </c>
      <c r="F96" t="s">
        <v>32</v>
      </c>
      <c r="G96" t="s">
        <v>62</v>
      </c>
      <c r="H96" t="s">
        <v>1005</v>
      </c>
      <c r="I96" t="s">
        <v>1006</v>
      </c>
      <c r="J96">
        <v>1</v>
      </c>
      <c r="K96">
        <v>0</v>
      </c>
      <c r="L96" t="s">
        <v>29</v>
      </c>
    </row>
    <row r="97" spans="1:12" ht="14" x14ac:dyDescent="0.15">
      <c r="A97" t="s">
        <v>986</v>
      </c>
      <c r="B97" t="s">
        <v>987</v>
      </c>
      <c r="C97">
        <v>2025</v>
      </c>
      <c r="D97" t="s">
        <v>988</v>
      </c>
      <c r="E97" t="s">
        <v>957</v>
      </c>
      <c r="F97" t="s">
        <v>75</v>
      </c>
      <c r="G97" t="s">
        <v>826</v>
      </c>
      <c r="H97" t="s">
        <v>989</v>
      </c>
      <c r="I97" t="s">
        <v>990</v>
      </c>
      <c r="J97">
        <v>0</v>
      </c>
      <c r="K97">
        <v>0</v>
      </c>
      <c r="L97" t="s">
        <v>29</v>
      </c>
    </row>
    <row r="98" spans="1:12" ht="14" x14ac:dyDescent="0.15">
      <c r="A98" t="s">
        <v>1255</v>
      </c>
      <c r="B98" t="s">
        <v>1256</v>
      </c>
      <c r="C98">
        <v>2015</v>
      </c>
      <c r="D98" t="s">
        <v>1257</v>
      </c>
      <c r="E98" t="s">
        <v>1053</v>
      </c>
      <c r="F98" t="s">
        <v>75</v>
      </c>
      <c r="G98" t="s">
        <v>489</v>
      </c>
      <c r="H98" t="s">
        <v>1258</v>
      </c>
      <c r="I98" t="s">
        <v>1259</v>
      </c>
      <c r="J98">
        <v>0</v>
      </c>
      <c r="K98">
        <v>0</v>
      </c>
      <c r="L98" t="s">
        <v>29</v>
      </c>
    </row>
    <row r="99" spans="1:12" ht="14" x14ac:dyDescent="0.15">
      <c r="A99" t="s">
        <v>1247</v>
      </c>
      <c r="B99" t="s">
        <v>1248</v>
      </c>
      <c r="C99">
        <v>2019</v>
      </c>
      <c r="D99" t="s">
        <v>268</v>
      </c>
      <c r="E99" t="s">
        <v>1053</v>
      </c>
      <c r="F99" t="s">
        <v>75</v>
      </c>
      <c r="G99" t="s">
        <v>1249</v>
      </c>
      <c r="H99" t="s">
        <v>1250</v>
      </c>
      <c r="I99" t="s">
        <v>1251</v>
      </c>
      <c r="J99">
        <v>0</v>
      </c>
      <c r="K99">
        <v>0</v>
      </c>
      <c r="L99" t="s">
        <v>29</v>
      </c>
    </row>
    <row r="100" spans="1:12" ht="14" x14ac:dyDescent="0.15">
      <c r="A100" t="s">
        <v>1242</v>
      </c>
      <c r="B100" t="s">
        <v>1243</v>
      </c>
      <c r="C100">
        <v>2021</v>
      </c>
      <c r="D100" t="s">
        <v>25</v>
      </c>
      <c r="E100" t="s">
        <v>1053</v>
      </c>
      <c r="F100" t="s">
        <v>75</v>
      </c>
      <c r="G100" t="s">
        <v>1244</v>
      </c>
      <c r="H100" t="s">
        <v>1245</v>
      </c>
      <c r="I100" t="s">
        <v>1246</v>
      </c>
      <c r="J100">
        <v>0</v>
      </c>
      <c r="K100">
        <v>0</v>
      </c>
      <c r="L100" t="s">
        <v>29</v>
      </c>
    </row>
    <row r="101" spans="1:12" ht="14" x14ac:dyDescent="0.15">
      <c r="A101" t="s">
        <v>1236</v>
      </c>
      <c r="B101" t="s">
        <v>1237</v>
      </c>
      <c r="C101">
        <v>2022</v>
      </c>
      <c r="D101" t="s">
        <v>1238</v>
      </c>
      <c r="E101" t="s">
        <v>1053</v>
      </c>
      <c r="F101" t="s">
        <v>32</v>
      </c>
      <c r="G101" t="s">
        <v>1239</v>
      </c>
      <c r="H101" t="s">
        <v>1240</v>
      </c>
      <c r="I101" t="s">
        <v>1241</v>
      </c>
      <c r="J101">
        <v>0</v>
      </c>
      <c r="K101">
        <v>0</v>
      </c>
      <c r="L101" t="s">
        <v>29</v>
      </c>
    </row>
    <row r="102" spans="1:12" ht="14" x14ac:dyDescent="0.15">
      <c r="A102" t="s">
        <v>1231</v>
      </c>
      <c r="B102" t="s">
        <v>1232</v>
      </c>
      <c r="C102">
        <v>2023</v>
      </c>
      <c r="D102" t="s">
        <v>1233</v>
      </c>
      <c r="E102" t="s">
        <v>1053</v>
      </c>
      <c r="F102" t="s">
        <v>32</v>
      </c>
      <c r="G102" t="s">
        <v>70</v>
      </c>
      <c r="H102" t="s">
        <v>1234</v>
      </c>
      <c r="I102" t="s">
        <v>1235</v>
      </c>
      <c r="J102">
        <v>0</v>
      </c>
      <c r="K102">
        <v>0</v>
      </c>
      <c r="L102" t="s">
        <v>29</v>
      </c>
    </row>
    <row r="103" spans="1:12" ht="14" x14ac:dyDescent="0.15">
      <c r="A103" t="s">
        <v>1227</v>
      </c>
      <c r="B103" t="s">
        <v>1228</v>
      </c>
      <c r="C103">
        <v>2023</v>
      </c>
      <c r="D103" t="s">
        <v>126</v>
      </c>
      <c r="E103" t="s">
        <v>1053</v>
      </c>
      <c r="F103" t="s">
        <v>75</v>
      </c>
      <c r="G103" t="s">
        <v>81</v>
      </c>
      <c r="H103" t="s">
        <v>1229</v>
      </c>
      <c r="I103" t="s">
        <v>1230</v>
      </c>
      <c r="J103">
        <v>0</v>
      </c>
      <c r="K103">
        <v>0</v>
      </c>
      <c r="L103" t="s">
        <v>29</v>
      </c>
    </row>
    <row r="104" spans="1:12" ht="14" x14ac:dyDescent="0.15">
      <c r="A104" t="s">
        <v>1222</v>
      </c>
      <c r="B104" t="s">
        <v>1223</v>
      </c>
      <c r="C104">
        <v>2024</v>
      </c>
      <c r="D104" t="s">
        <v>25</v>
      </c>
      <c r="E104" t="s">
        <v>1053</v>
      </c>
      <c r="F104" t="s">
        <v>32</v>
      </c>
      <c r="G104" t="s">
        <v>1224</v>
      </c>
      <c r="H104" t="s">
        <v>1225</v>
      </c>
      <c r="I104" t="s">
        <v>1226</v>
      </c>
      <c r="J104">
        <v>1</v>
      </c>
      <c r="K104">
        <v>0</v>
      </c>
      <c r="L104" t="s">
        <v>29</v>
      </c>
    </row>
    <row r="105" spans="1:12" ht="14" x14ac:dyDescent="0.15">
      <c r="A105" t="s">
        <v>1206</v>
      </c>
      <c r="B105" t="s">
        <v>1207</v>
      </c>
      <c r="C105">
        <v>2024</v>
      </c>
      <c r="D105" t="s">
        <v>25</v>
      </c>
      <c r="E105" t="s">
        <v>1053</v>
      </c>
      <c r="F105" t="s">
        <v>17</v>
      </c>
      <c r="G105" t="s">
        <v>1208</v>
      </c>
      <c r="H105" t="s">
        <v>1209</v>
      </c>
      <c r="I105" t="s">
        <v>1210</v>
      </c>
      <c r="J105">
        <v>0</v>
      </c>
      <c r="K105">
        <v>0</v>
      </c>
      <c r="L105" t="s">
        <v>29</v>
      </c>
    </row>
    <row r="106" spans="1:12" ht="14" x14ac:dyDescent="0.15">
      <c r="A106" t="s">
        <v>1196</v>
      </c>
      <c r="B106" t="s">
        <v>1197</v>
      </c>
      <c r="C106">
        <v>2025</v>
      </c>
      <c r="D106" t="s">
        <v>1198</v>
      </c>
      <c r="E106" t="s">
        <v>1053</v>
      </c>
      <c r="F106" t="s">
        <v>32</v>
      </c>
      <c r="G106" t="s">
        <v>1199</v>
      </c>
      <c r="H106" t="s">
        <v>1200</v>
      </c>
      <c r="I106" t="s">
        <v>1201</v>
      </c>
      <c r="J106">
        <v>1</v>
      </c>
      <c r="K106">
        <v>0</v>
      </c>
      <c r="L106" t="s">
        <v>29</v>
      </c>
    </row>
    <row r="107" spans="1:12" ht="14" x14ac:dyDescent="0.15">
      <c r="A107" t="s">
        <v>1190</v>
      </c>
      <c r="B107" t="s">
        <v>1191</v>
      </c>
      <c r="C107">
        <v>2025</v>
      </c>
      <c r="D107" t="s">
        <v>1192</v>
      </c>
      <c r="E107" t="s">
        <v>1053</v>
      </c>
      <c r="F107" t="s">
        <v>32</v>
      </c>
      <c r="G107" t="s">
        <v>1193</v>
      </c>
      <c r="H107" t="s">
        <v>1194</v>
      </c>
      <c r="I107" t="s">
        <v>1195</v>
      </c>
      <c r="J107">
        <v>1</v>
      </c>
      <c r="K107">
        <v>0</v>
      </c>
      <c r="L107" t="s">
        <v>29</v>
      </c>
    </row>
    <row r="108" spans="1:12" ht="14" x14ac:dyDescent="0.15">
      <c r="A108" t="s">
        <v>1185</v>
      </c>
      <c r="B108" t="s">
        <v>1186</v>
      </c>
      <c r="C108">
        <v>2025</v>
      </c>
      <c r="D108" t="s">
        <v>1187</v>
      </c>
      <c r="E108" t="s">
        <v>1053</v>
      </c>
      <c r="F108" t="s">
        <v>32</v>
      </c>
      <c r="G108" t="s">
        <v>26</v>
      </c>
      <c r="H108" t="s">
        <v>1188</v>
      </c>
      <c r="I108" t="s">
        <v>1189</v>
      </c>
      <c r="J108">
        <v>1</v>
      </c>
      <c r="K108">
        <v>0</v>
      </c>
      <c r="L108" t="s">
        <v>29</v>
      </c>
    </row>
    <row r="109" spans="1:12" ht="14" x14ac:dyDescent="0.15">
      <c r="A109" t="s">
        <v>1176</v>
      </c>
      <c r="B109" t="s">
        <v>1177</v>
      </c>
      <c r="C109">
        <v>2025</v>
      </c>
      <c r="D109" t="s">
        <v>1178</v>
      </c>
      <c r="E109" t="s">
        <v>1053</v>
      </c>
      <c r="F109" t="s">
        <v>32</v>
      </c>
      <c r="G109" t="s">
        <v>1179</v>
      </c>
      <c r="H109" t="s">
        <v>1180</v>
      </c>
      <c r="I109" t="s">
        <v>1181</v>
      </c>
      <c r="J109">
        <v>1</v>
      </c>
      <c r="K109">
        <v>0</v>
      </c>
      <c r="L109" t="s">
        <v>29</v>
      </c>
    </row>
    <row r="110" spans="1:12" ht="14" x14ac:dyDescent="0.15">
      <c r="A110" t="s">
        <v>1170</v>
      </c>
      <c r="B110" t="s">
        <v>1171</v>
      </c>
      <c r="C110">
        <v>2025</v>
      </c>
      <c r="D110" t="s">
        <v>1172</v>
      </c>
      <c r="E110" t="s">
        <v>1053</v>
      </c>
      <c r="F110" t="s">
        <v>17</v>
      </c>
      <c r="G110" t="s">
        <v>1173</v>
      </c>
      <c r="H110" t="s">
        <v>1174</v>
      </c>
      <c r="I110" t="s">
        <v>1175</v>
      </c>
      <c r="J110">
        <v>0</v>
      </c>
      <c r="K110">
        <v>0</v>
      </c>
      <c r="L110" t="s">
        <v>29</v>
      </c>
    </row>
    <row r="111" spans="1:12" ht="14" x14ac:dyDescent="0.15">
      <c r="A111" t="s">
        <v>1165</v>
      </c>
      <c r="B111" t="s">
        <v>1166</v>
      </c>
      <c r="C111">
        <v>2025</v>
      </c>
      <c r="D111" t="s">
        <v>1167</v>
      </c>
      <c r="E111" t="s">
        <v>1053</v>
      </c>
      <c r="F111" t="s">
        <v>17</v>
      </c>
      <c r="G111" t="s">
        <v>389</v>
      </c>
      <c r="H111" t="s">
        <v>1168</v>
      </c>
      <c r="I111" t="s">
        <v>1169</v>
      </c>
      <c r="J111">
        <v>0</v>
      </c>
      <c r="K111">
        <v>0</v>
      </c>
      <c r="L111" t="s">
        <v>29</v>
      </c>
    </row>
    <row r="112" spans="1:12" ht="14" x14ac:dyDescent="0.15">
      <c r="A112" t="s">
        <v>1158</v>
      </c>
      <c r="B112" t="s">
        <v>1159</v>
      </c>
      <c r="C112">
        <v>2025</v>
      </c>
      <c r="D112" t="s">
        <v>420</v>
      </c>
      <c r="E112" t="s">
        <v>1053</v>
      </c>
      <c r="F112" t="s">
        <v>75</v>
      </c>
      <c r="G112" t="s">
        <v>122</v>
      </c>
      <c r="H112" t="s">
        <v>1160</v>
      </c>
      <c r="I112" t="s">
        <v>1161</v>
      </c>
      <c r="J112">
        <v>0</v>
      </c>
      <c r="K112">
        <v>0</v>
      </c>
      <c r="L112" t="s">
        <v>29</v>
      </c>
    </row>
    <row r="113" spans="1:12" ht="14" x14ac:dyDescent="0.15">
      <c r="A113" t="s">
        <v>1128</v>
      </c>
      <c r="B113" t="s">
        <v>830</v>
      </c>
      <c r="C113">
        <v>2025</v>
      </c>
      <c r="D113" t="s">
        <v>831</v>
      </c>
      <c r="E113" t="s">
        <v>1053</v>
      </c>
      <c r="F113" t="s">
        <v>17</v>
      </c>
      <c r="G113" t="s">
        <v>726</v>
      </c>
      <c r="H113" t="s">
        <v>1129</v>
      </c>
      <c r="I113" t="s">
        <v>1130</v>
      </c>
      <c r="J113">
        <v>1</v>
      </c>
      <c r="K113">
        <v>0</v>
      </c>
      <c r="L113" t="s">
        <v>29</v>
      </c>
    </row>
    <row r="114" spans="1:12" ht="14" x14ac:dyDescent="0.15">
      <c r="A114" t="s">
        <v>1115</v>
      </c>
      <c r="B114" t="s">
        <v>1116</v>
      </c>
      <c r="C114">
        <v>2025</v>
      </c>
      <c r="D114" t="s">
        <v>25</v>
      </c>
      <c r="E114" t="s">
        <v>1053</v>
      </c>
      <c r="F114" t="s">
        <v>75</v>
      </c>
      <c r="G114" t="s">
        <v>1117</v>
      </c>
      <c r="H114" t="s">
        <v>1118</v>
      </c>
      <c r="I114" t="s">
        <v>1119</v>
      </c>
      <c r="J114">
        <v>1</v>
      </c>
      <c r="K114">
        <v>0</v>
      </c>
      <c r="L114" t="s">
        <v>29</v>
      </c>
    </row>
    <row r="115" spans="1:12" ht="14" x14ac:dyDescent="0.15">
      <c r="A115" t="s">
        <v>1110</v>
      </c>
      <c r="B115" t="s">
        <v>1111</v>
      </c>
      <c r="C115">
        <v>2025</v>
      </c>
      <c r="D115" t="s">
        <v>1112</v>
      </c>
      <c r="E115" t="s">
        <v>1053</v>
      </c>
      <c r="F115" t="s">
        <v>17</v>
      </c>
      <c r="G115" t="s">
        <v>188</v>
      </c>
      <c r="H115" t="s">
        <v>1113</v>
      </c>
      <c r="I115" t="s">
        <v>1114</v>
      </c>
      <c r="J115">
        <v>0</v>
      </c>
      <c r="K115">
        <v>0</v>
      </c>
      <c r="L115" t="s">
        <v>29</v>
      </c>
    </row>
    <row r="116" spans="1:12" ht="14" x14ac:dyDescent="0.15">
      <c r="A116" t="s">
        <v>1103</v>
      </c>
      <c r="B116" t="s">
        <v>1104</v>
      </c>
      <c r="C116">
        <v>2025</v>
      </c>
      <c r="D116" t="s">
        <v>770</v>
      </c>
      <c r="E116" t="s">
        <v>1053</v>
      </c>
      <c r="F116" t="s">
        <v>75</v>
      </c>
      <c r="G116" t="s">
        <v>76</v>
      </c>
      <c r="H116" t="s">
        <v>1105</v>
      </c>
      <c r="I116" t="s">
        <v>1106</v>
      </c>
      <c r="J116">
        <v>0</v>
      </c>
      <c r="K116">
        <v>0</v>
      </c>
      <c r="L116" t="s">
        <v>29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2EDCE-94F6-2E4B-AD53-58B3451654DB}">
  <dimension ref="A1:L104"/>
  <sheetViews>
    <sheetView workbookViewId="0">
      <selection activeCell="A3" sqref="A3:H104"/>
    </sheetView>
  </sheetViews>
  <sheetFormatPr baseColWidth="10" defaultRowHeight="13" x14ac:dyDescent="0.15"/>
  <cols>
    <col min="1" max="1" width="158.5" bestFit="1" customWidth="1"/>
    <col min="2" max="2" width="255.83203125" bestFit="1" customWidth="1"/>
    <col min="3" max="3" width="11" bestFit="1" customWidth="1"/>
    <col min="4" max="4" width="63.1640625" bestFit="1" customWidth="1"/>
    <col min="5" max="5" width="20.1640625" bestFit="1" customWidth="1"/>
    <col min="6" max="6" width="21" bestFit="1" customWidth="1"/>
    <col min="7" max="7" width="11" bestFit="1" customWidth="1"/>
    <col min="8" max="8" width="28.33203125" bestFit="1" customWidth="1"/>
    <col min="9" max="9" width="19.1640625" bestFit="1" customWidth="1"/>
    <col min="10" max="10" width="16.5" bestFit="1" customWidth="1"/>
    <col min="11" max="11" width="12.5" bestFit="1" customWidth="1"/>
    <col min="12" max="12" width="11" bestFit="1" customWidth="1"/>
  </cols>
  <sheetData>
    <row r="1" spans="1:12" ht="14" x14ac:dyDescent="0.15">
      <c r="A1" s="23" t="s">
        <v>1392</v>
      </c>
    </row>
    <row r="3" spans="1:12" ht="14" x14ac:dyDescent="0.1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</row>
    <row r="4" spans="1:12" ht="14" x14ac:dyDescent="0.15">
      <c r="A4" t="s">
        <v>1222</v>
      </c>
      <c r="B4" t="s">
        <v>1223</v>
      </c>
      <c r="C4">
        <v>2024</v>
      </c>
      <c r="D4" t="s">
        <v>25</v>
      </c>
      <c r="E4" t="s">
        <v>1053</v>
      </c>
      <c r="F4" t="s">
        <v>32</v>
      </c>
      <c r="G4" t="s">
        <v>1224</v>
      </c>
      <c r="H4" t="s">
        <v>1225</v>
      </c>
      <c r="I4" t="s">
        <v>1226</v>
      </c>
      <c r="J4">
        <v>1</v>
      </c>
      <c r="K4">
        <v>0</v>
      </c>
      <c r="L4" t="s">
        <v>29</v>
      </c>
    </row>
    <row r="5" spans="1:12" ht="28" hidden="1" x14ac:dyDescent="0.15">
      <c r="A5" t="s">
        <v>588</v>
      </c>
      <c r="B5" t="s">
        <v>589</v>
      </c>
      <c r="C5">
        <v>2017</v>
      </c>
      <c r="D5" t="s">
        <v>590</v>
      </c>
      <c r="E5" t="s">
        <v>321</v>
      </c>
      <c r="F5" t="s">
        <v>32</v>
      </c>
      <c r="G5" t="s">
        <v>311</v>
      </c>
      <c r="H5" t="s">
        <v>591</v>
      </c>
      <c r="I5" t="s">
        <v>592</v>
      </c>
      <c r="J5">
        <v>0</v>
      </c>
      <c r="K5">
        <v>0</v>
      </c>
      <c r="L5" t="s">
        <v>29</v>
      </c>
    </row>
    <row r="6" spans="1:12" ht="14" x14ac:dyDescent="0.15">
      <c r="A6" t="s">
        <v>68</v>
      </c>
      <c r="B6" t="s">
        <v>69</v>
      </c>
      <c r="C6">
        <v>2024</v>
      </c>
      <c r="D6" t="s">
        <v>25</v>
      </c>
      <c r="E6" t="s">
        <v>16</v>
      </c>
      <c r="F6" t="s">
        <v>32</v>
      </c>
      <c r="G6" t="s">
        <v>70</v>
      </c>
      <c r="H6" t="s">
        <v>71</v>
      </c>
      <c r="I6" t="s">
        <v>72</v>
      </c>
      <c r="J6">
        <v>1</v>
      </c>
      <c r="K6">
        <v>0</v>
      </c>
      <c r="L6" t="s">
        <v>29</v>
      </c>
    </row>
    <row r="7" spans="1:12" ht="14" x14ac:dyDescent="0.15">
      <c r="A7" t="s">
        <v>1231</v>
      </c>
      <c r="B7" t="s">
        <v>1232</v>
      </c>
      <c r="C7">
        <v>2023</v>
      </c>
      <c r="D7" t="s">
        <v>1233</v>
      </c>
      <c r="E7" t="s">
        <v>1053</v>
      </c>
      <c r="F7" t="s">
        <v>32</v>
      </c>
      <c r="G7" t="s">
        <v>70</v>
      </c>
      <c r="H7" t="s">
        <v>1234</v>
      </c>
      <c r="I7" t="s">
        <v>1235</v>
      </c>
      <c r="J7">
        <v>0</v>
      </c>
      <c r="K7">
        <v>0</v>
      </c>
      <c r="L7" t="s">
        <v>29</v>
      </c>
    </row>
    <row r="8" spans="1:12" ht="14" x14ac:dyDescent="0.15">
      <c r="A8" t="s">
        <v>1036</v>
      </c>
      <c r="B8" t="s">
        <v>1037</v>
      </c>
      <c r="C8">
        <v>2021</v>
      </c>
      <c r="D8" t="s">
        <v>1038</v>
      </c>
      <c r="E8" t="s">
        <v>957</v>
      </c>
      <c r="F8" t="s">
        <v>75</v>
      </c>
      <c r="G8" t="s">
        <v>1039</v>
      </c>
      <c r="H8" t="s">
        <v>1040</v>
      </c>
      <c r="I8" t="s">
        <v>1041</v>
      </c>
      <c r="J8">
        <v>0</v>
      </c>
      <c r="K8">
        <v>0</v>
      </c>
      <c r="L8" t="s">
        <v>29</v>
      </c>
    </row>
    <row r="9" spans="1:12" ht="14" x14ac:dyDescent="0.15">
      <c r="A9" t="s">
        <v>476</v>
      </c>
      <c r="B9" t="s">
        <v>477</v>
      </c>
      <c r="C9">
        <v>2021</v>
      </c>
      <c r="D9" t="s">
        <v>143</v>
      </c>
      <c r="E9" t="s">
        <v>321</v>
      </c>
      <c r="F9" t="s">
        <v>75</v>
      </c>
      <c r="G9" t="s">
        <v>478</v>
      </c>
      <c r="H9" t="s">
        <v>479</v>
      </c>
      <c r="I9" t="s">
        <v>480</v>
      </c>
      <c r="J9">
        <v>0</v>
      </c>
      <c r="K9">
        <v>0</v>
      </c>
      <c r="L9" t="s">
        <v>29</v>
      </c>
    </row>
    <row r="10" spans="1:12" ht="14" x14ac:dyDescent="0.15">
      <c r="A10" t="s">
        <v>363</v>
      </c>
      <c r="B10" t="s">
        <v>364</v>
      </c>
      <c r="C10">
        <v>2024</v>
      </c>
      <c r="D10" t="s">
        <v>25</v>
      </c>
      <c r="E10" t="s">
        <v>321</v>
      </c>
      <c r="F10" t="s">
        <v>17</v>
      </c>
      <c r="G10" t="s">
        <v>365</v>
      </c>
      <c r="H10" t="s">
        <v>366</v>
      </c>
      <c r="I10" t="s">
        <v>367</v>
      </c>
      <c r="J10">
        <v>0</v>
      </c>
      <c r="K10">
        <v>0</v>
      </c>
      <c r="L10" t="s">
        <v>29</v>
      </c>
    </row>
    <row r="11" spans="1:12" ht="14" x14ac:dyDescent="0.15">
      <c r="A11" t="s">
        <v>1206</v>
      </c>
      <c r="B11" t="s">
        <v>1207</v>
      </c>
      <c r="C11">
        <v>2024</v>
      </c>
      <c r="D11" t="s">
        <v>25</v>
      </c>
      <c r="E11" t="s">
        <v>1053</v>
      </c>
      <c r="F11" t="s">
        <v>17</v>
      </c>
      <c r="G11" t="s">
        <v>1208</v>
      </c>
      <c r="H11" t="s">
        <v>1209</v>
      </c>
      <c r="I11" t="s">
        <v>1210</v>
      </c>
      <c r="J11">
        <v>0</v>
      </c>
      <c r="K11">
        <v>0</v>
      </c>
      <c r="L11" t="s">
        <v>29</v>
      </c>
    </row>
    <row r="12" spans="1:12" ht="14" x14ac:dyDescent="0.15">
      <c r="A12" t="s">
        <v>557</v>
      </c>
      <c r="B12" t="s">
        <v>558</v>
      </c>
      <c r="C12">
        <v>2020</v>
      </c>
      <c r="D12" t="s">
        <v>559</v>
      </c>
      <c r="E12" t="s">
        <v>321</v>
      </c>
      <c r="F12" t="s">
        <v>32</v>
      </c>
      <c r="G12" t="s">
        <v>560</v>
      </c>
      <c r="H12" t="s">
        <v>561</v>
      </c>
      <c r="I12" t="s">
        <v>562</v>
      </c>
      <c r="J12">
        <v>0</v>
      </c>
      <c r="K12">
        <v>0</v>
      </c>
      <c r="L12" t="s">
        <v>29</v>
      </c>
    </row>
    <row r="13" spans="1:12" ht="14" x14ac:dyDescent="0.15">
      <c r="A13" t="s">
        <v>23</v>
      </c>
      <c r="B13" t="s">
        <v>24</v>
      </c>
      <c r="C13">
        <v>2026</v>
      </c>
      <c r="D13" t="s">
        <v>25</v>
      </c>
      <c r="E13" t="s">
        <v>16</v>
      </c>
      <c r="F13" t="s">
        <v>17</v>
      </c>
      <c r="G13" t="s">
        <v>26</v>
      </c>
      <c r="H13" t="s">
        <v>27</v>
      </c>
      <c r="I13" t="s">
        <v>28</v>
      </c>
      <c r="J13">
        <v>0</v>
      </c>
      <c r="K13">
        <v>0</v>
      </c>
      <c r="L13" t="s">
        <v>29</v>
      </c>
    </row>
    <row r="14" spans="1:12" ht="14" x14ac:dyDescent="0.15">
      <c r="A14" t="s">
        <v>292</v>
      </c>
      <c r="B14" t="s">
        <v>293</v>
      </c>
      <c r="C14">
        <v>2023</v>
      </c>
      <c r="D14" t="s">
        <v>294</v>
      </c>
      <c r="E14" t="s">
        <v>237</v>
      </c>
      <c r="F14" t="s">
        <v>75</v>
      </c>
      <c r="G14" t="s">
        <v>26</v>
      </c>
      <c r="H14" t="s">
        <v>295</v>
      </c>
      <c r="I14" t="s">
        <v>296</v>
      </c>
      <c r="J14">
        <v>0</v>
      </c>
      <c r="K14">
        <v>0</v>
      </c>
      <c r="L14" t="s">
        <v>29</v>
      </c>
    </row>
    <row r="15" spans="1:12" ht="14" x14ac:dyDescent="0.15">
      <c r="A15" t="s">
        <v>796</v>
      </c>
      <c r="B15" t="s">
        <v>797</v>
      </c>
      <c r="C15">
        <v>2025</v>
      </c>
      <c r="D15" t="s">
        <v>549</v>
      </c>
      <c r="E15" t="s">
        <v>640</v>
      </c>
      <c r="F15" t="s">
        <v>32</v>
      </c>
      <c r="G15" t="s">
        <v>26</v>
      </c>
      <c r="H15" t="s">
        <v>798</v>
      </c>
      <c r="I15" t="s">
        <v>799</v>
      </c>
      <c r="J15">
        <v>1</v>
      </c>
      <c r="K15">
        <v>0</v>
      </c>
      <c r="L15" t="s">
        <v>29</v>
      </c>
    </row>
    <row r="16" spans="1:12" ht="14" x14ac:dyDescent="0.15">
      <c r="A16" t="s">
        <v>1185</v>
      </c>
      <c r="B16" t="s">
        <v>1186</v>
      </c>
      <c r="C16">
        <v>2025</v>
      </c>
      <c r="D16" t="s">
        <v>1187</v>
      </c>
      <c r="E16" t="s">
        <v>1053</v>
      </c>
      <c r="F16" t="s">
        <v>32</v>
      </c>
      <c r="G16" t="s">
        <v>26</v>
      </c>
      <c r="H16" t="s">
        <v>1188</v>
      </c>
      <c r="I16" t="s">
        <v>1189</v>
      </c>
      <c r="J16">
        <v>1</v>
      </c>
      <c r="K16">
        <v>0</v>
      </c>
      <c r="L16" t="s">
        <v>29</v>
      </c>
    </row>
    <row r="17" spans="1:12" ht="14" x14ac:dyDescent="0.15">
      <c r="A17" t="s">
        <v>530</v>
      </c>
      <c r="B17" t="s">
        <v>531</v>
      </c>
      <c r="C17">
        <v>2020</v>
      </c>
      <c r="D17" t="s">
        <v>532</v>
      </c>
      <c r="E17" t="s">
        <v>321</v>
      </c>
      <c r="F17" t="s">
        <v>75</v>
      </c>
      <c r="G17" t="s">
        <v>533</v>
      </c>
      <c r="H17" t="s">
        <v>534</v>
      </c>
      <c r="I17" t="s">
        <v>535</v>
      </c>
      <c r="J17">
        <v>0</v>
      </c>
      <c r="K17">
        <v>0</v>
      </c>
      <c r="L17" t="s">
        <v>29</v>
      </c>
    </row>
    <row r="18" spans="1:12" ht="14" x14ac:dyDescent="0.15">
      <c r="A18" t="s">
        <v>843</v>
      </c>
      <c r="B18" t="s">
        <v>844</v>
      </c>
      <c r="C18">
        <v>2025</v>
      </c>
      <c r="D18" t="s">
        <v>25</v>
      </c>
      <c r="E18" t="s">
        <v>640</v>
      </c>
      <c r="F18" t="s">
        <v>32</v>
      </c>
      <c r="G18" t="s">
        <v>845</v>
      </c>
      <c r="H18" t="s">
        <v>846</v>
      </c>
      <c r="I18" t="s">
        <v>847</v>
      </c>
      <c r="J18">
        <v>1</v>
      </c>
      <c r="K18">
        <v>0</v>
      </c>
      <c r="L18" t="s">
        <v>29</v>
      </c>
    </row>
    <row r="19" spans="1:12" ht="14" x14ac:dyDescent="0.15">
      <c r="A19" t="s">
        <v>220</v>
      </c>
      <c r="B19" t="s">
        <v>221</v>
      </c>
      <c r="C19">
        <v>2020</v>
      </c>
      <c r="D19" t="s">
        <v>222</v>
      </c>
      <c r="E19" t="s">
        <v>155</v>
      </c>
      <c r="F19" t="s">
        <v>32</v>
      </c>
      <c r="G19" t="s">
        <v>223</v>
      </c>
      <c r="H19" t="s">
        <v>224</v>
      </c>
      <c r="I19" t="s">
        <v>225</v>
      </c>
      <c r="J19">
        <v>0</v>
      </c>
      <c r="K19">
        <v>0</v>
      </c>
      <c r="L19" t="s">
        <v>29</v>
      </c>
    </row>
    <row r="20" spans="1:12" ht="14" x14ac:dyDescent="0.15">
      <c r="A20" t="s">
        <v>167</v>
      </c>
      <c r="B20" t="s">
        <v>168</v>
      </c>
      <c r="C20">
        <v>2025</v>
      </c>
      <c r="D20" t="s">
        <v>169</v>
      </c>
      <c r="E20" t="s">
        <v>155</v>
      </c>
      <c r="F20" t="s">
        <v>32</v>
      </c>
      <c r="G20" t="s">
        <v>170</v>
      </c>
      <c r="H20" t="s">
        <v>171</v>
      </c>
      <c r="I20" t="s">
        <v>172</v>
      </c>
      <c r="J20">
        <v>0</v>
      </c>
      <c r="K20">
        <v>0</v>
      </c>
      <c r="L20" t="s">
        <v>29</v>
      </c>
    </row>
    <row r="21" spans="1:12" ht="14" x14ac:dyDescent="0.15">
      <c r="A21" t="s">
        <v>439</v>
      </c>
      <c r="B21" t="s">
        <v>440</v>
      </c>
      <c r="C21">
        <v>2022</v>
      </c>
      <c r="D21" t="s">
        <v>441</v>
      </c>
      <c r="E21" t="s">
        <v>321</v>
      </c>
      <c r="F21" t="s">
        <v>75</v>
      </c>
      <c r="G21" t="s">
        <v>170</v>
      </c>
      <c r="H21" t="s">
        <v>442</v>
      </c>
      <c r="I21" t="s">
        <v>443</v>
      </c>
      <c r="J21">
        <v>0</v>
      </c>
      <c r="K21">
        <v>0</v>
      </c>
      <c r="L21" t="s">
        <v>29</v>
      </c>
    </row>
    <row r="22" spans="1:12" ht="14" x14ac:dyDescent="0.15">
      <c r="A22" t="s">
        <v>1020</v>
      </c>
      <c r="B22" t="s">
        <v>1021</v>
      </c>
      <c r="C22">
        <v>2023</v>
      </c>
      <c r="D22" t="s">
        <v>1022</v>
      </c>
      <c r="E22" t="s">
        <v>957</v>
      </c>
      <c r="F22" t="s">
        <v>75</v>
      </c>
      <c r="G22" t="s">
        <v>170</v>
      </c>
      <c r="H22" t="s">
        <v>1023</v>
      </c>
      <c r="I22" t="s">
        <v>1024</v>
      </c>
      <c r="J22">
        <v>0</v>
      </c>
      <c r="K22">
        <v>0</v>
      </c>
      <c r="L22" t="s">
        <v>29</v>
      </c>
    </row>
    <row r="23" spans="1:12" ht="14" x14ac:dyDescent="0.15">
      <c r="A23" t="s">
        <v>48</v>
      </c>
      <c r="B23" t="s">
        <v>49</v>
      </c>
      <c r="C23">
        <v>2025</v>
      </c>
      <c r="D23" t="s">
        <v>50</v>
      </c>
      <c r="E23" t="s">
        <v>16</v>
      </c>
      <c r="F23" t="s">
        <v>32</v>
      </c>
      <c r="G23" t="s">
        <v>51</v>
      </c>
      <c r="H23" t="s">
        <v>52</v>
      </c>
      <c r="I23" t="s">
        <v>53</v>
      </c>
      <c r="J23">
        <v>1</v>
      </c>
      <c r="K23">
        <v>0</v>
      </c>
      <c r="L23" t="s">
        <v>29</v>
      </c>
    </row>
    <row r="24" spans="1:12" ht="14" x14ac:dyDescent="0.15">
      <c r="A24" t="s">
        <v>495</v>
      </c>
      <c r="B24" t="s">
        <v>496</v>
      </c>
      <c r="C24">
        <v>2021</v>
      </c>
      <c r="D24" t="s">
        <v>25</v>
      </c>
      <c r="E24" t="s">
        <v>321</v>
      </c>
      <c r="F24" t="s">
        <v>17</v>
      </c>
      <c r="G24" t="s">
        <v>497</v>
      </c>
      <c r="H24" t="s">
        <v>498</v>
      </c>
      <c r="I24" t="s">
        <v>499</v>
      </c>
      <c r="J24">
        <v>0</v>
      </c>
      <c r="K24">
        <v>0</v>
      </c>
      <c r="L24" t="s">
        <v>29</v>
      </c>
    </row>
    <row r="25" spans="1:12" ht="14" hidden="1" x14ac:dyDescent="0.15">
      <c r="A25" t="s">
        <v>630</v>
      </c>
      <c r="B25" t="s">
        <v>631</v>
      </c>
      <c r="C25">
        <v>2017</v>
      </c>
      <c r="D25" t="s">
        <v>559</v>
      </c>
      <c r="E25" t="s">
        <v>599</v>
      </c>
      <c r="F25" t="s">
        <v>17</v>
      </c>
      <c r="G25" t="s">
        <v>389</v>
      </c>
      <c r="H25" t="s">
        <v>632</v>
      </c>
      <c r="I25" t="s">
        <v>633</v>
      </c>
      <c r="J25">
        <v>0</v>
      </c>
      <c r="K25">
        <v>0</v>
      </c>
      <c r="L25" t="s">
        <v>29</v>
      </c>
    </row>
    <row r="26" spans="1:12" ht="14" x14ac:dyDescent="0.15">
      <c r="A26" t="s">
        <v>1165</v>
      </c>
      <c r="B26" t="s">
        <v>1166</v>
      </c>
      <c r="C26">
        <v>2025</v>
      </c>
      <c r="D26" t="s">
        <v>1167</v>
      </c>
      <c r="E26" t="s">
        <v>1053</v>
      </c>
      <c r="F26" t="s">
        <v>17</v>
      </c>
      <c r="G26" t="s">
        <v>389</v>
      </c>
      <c r="H26" t="s">
        <v>1168</v>
      </c>
      <c r="I26" t="s">
        <v>1169</v>
      </c>
      <c r="J26">
        <v>0</v>
      </c>
      <c r="K26">
        <v>0</v>
      </c>
      <c r="L26" t="s">
        <v>29</v>
      </c>
    </row>
    <row r="27" spans="1:12" ht="14" x14ac:dyDescent="0.15">
      <c r="A27" t="s">
        <v>848</v>
      </c>
      <c r="B27" t="s">
        <v>849</v>
      </c>
      <c r="C27">
        <v>2025</v>
      </c>
      <c r="D27" t="s">
        <v>25</v>
      </c>
      <c r="E27" t="s">
        <v>640</v>
      </c>
      <c r="F27" t="s">
        <v>32</v>
      </c>
      <c r="G27" t="s">
        <v>850</v>
      </c>
      <c r="H27" t="s">
        <v>851</v>
      </c>
      <c r="I27" t="s">
        <v>852</v>
      </c>
      <c r="J27">
        <v>1</v>
      </c>
      <c r="K27">
        <v>0</v>
      </c>
      <c r="L27" t="s">
        <v>29</v>
      </c>
    </row>
    <row r="28" spans="1:12" ht="14" x14ac:dyDescent="0.15">
      <c r="A28" t="s">
        <v>141</v>
      </c>
      <c r="B28" t="s">
        <v>142</v>
      </c>
      <c r="C28">
        <v>2021</v>
      </c>
      <c r="D28" t="s">
        <v>143</v>
      </c>
      <c r="E28" t="s">
        <v>91</v>
      </c>
      <c r="F28" t="s">
        <v>32</v>
      </c>
      <c r="G28" t="s">
        <v>144</v>
      </c>
      <c r="H28" t="s">
        <v>145</v>
      </c>
      <c r="I28" t="s">
        <v>146</v>
      </c>
      <c r="J28">
        <v>0</v>
      </c>
      <c r="K28">
        <v>0</v>
      </c>
      <c r="L28" t="s">
        <v>29</v>
      </c>
    </row>
    <row r="29" spans="1:12" ht="14" x14ac:dyDescent="0.15">
      <c r="A29" t="s">
        <v>130</v>
      </c>
      <c r="B29" t="s">
        <v>131</v>
      </c>
      <c r="C29">
        <v>2023</v>
      </c>
      <c r="D29" t="s">
        <v>126</v>
      </c>
      <c r="E29" t="s">
        <v>91</v>
      </c>
      <c r="F29" t="s">
        <v>75</v>
      </c>
      <c r="G29" t="s">
        <v>132</v>
      </c>
      <c r="H29" t="s">
        <v>133</v>
      </c>
      <c r="I29" t="s">
        <v>134</v>
      </c>
      <c r="J29">
        <v>0</v>
      </c>
      <c r="K29">
        <v>0</v>
      </c>
      <c r="L29" t="s">
        <v>29</v>
      </c>
    </row>
    <row r="30" spans="1:12" ht="14" x14ac:dyDescent="0.15">
      <c r="A30" t="s">
        <v>816</v>
      </c>
      <c r="B30" t="s">
        <v>817</v>
      </c>
      <c r="C30">
        <v>2025</v>
      </c>
      <c r="D30" t="s">
        <v>175</v>
      </c>
      <c r="E30" t="s">
        <v>640</v>
      </c>
      <c r="F30" t="s">
        <v>32</v>
      </c>
      <c r="G30" t="s">
        <v>132</v>
      </c>
      <c r="H30" t="s">
        <v>818</v>
      </c>
      <c r="I30" t="s">
        <v>819</v>
      </c>
      <c r="J30">
        <v>0</v>
      </c>
      <c r="K30">
        <v>0</v>
      </c>
      <c r="L30" t="s">
        <v>29</v>
      </c>
    </row>
    <row r="31" spans="1:12" ht="14" x14ac:dyDescent="0.15">
      <c r="A31" t="s">
        <v>1176</v>
      </c>
      <c r="B31" t="s">
        <v>1177</v>
      </c>
      <c r="C31">
        <v>2025</v>
      </c>
      <c r="D31" t="s">
        <v>1178</v>
      </c>
      <c r="E31" t="s">
        <v>1053</v>
      </c>
      <c r="F31" t="s">
        <v>32</v>
      </c>
      <c r="G31" t="s">
        <v>1179</v>
      </c>
      <c r="H31" t="s">
        <v>1180</v>
      </c>
      <c r="I31" t="s">
        <v>1181</v>
      </c>
      <c r="J31">
        <v>1</v>
      </c>
      <c r="K31">
        <v>0</v>
      </c>
      <c r="L31" t="s">
        <v>29</v>
      </c>
    </row>
    <row r="32" spans="1:12" ht="14" x14ac:dyDescent="0.15">
      <c r="A32" t="s">
        <v>381</v>
      </c>
      <c r="B32" t="s">
        <v>382</v>
      </c>
      <c r="C32">
        <v>2024</v>
      </c>
      <c r="D32" t="s">
        <v>383</v>
      </c>
      <c r="E32" t="s">
        <v>321</v>
      </c>
      <c r="F32" t="s">
        <v>17</v>
      </c>
      <c r="G32" t="s">
        <v>384</v>
      </c>
      <c r="H32" t="s">
        <v>385</v>
      </c>
      <c r="I32" t="s">
        <v>386</v>
      </c>
      <c r="J32">
        <v>0</v>
      </c>
      <c r="K32">
        <v>0</v>
      </c>
      <c r="L32" t="s">
        <v>29</v>
      </c>
    </row>
    <row r="33" spans="1:12" ht="14" x14ac:dyDescent="0.15">
      <c r="A33" t="s">
        <v>303</v>
      </c>
      <c r="B33" t="s">
        <v>304</v>
      </c>
      <c r="C33">
        <v>2021</v>
      </c>
      <c r="D33" t="s">
        <v>305</v>
      </c>
      <c r="E33" t="s">
        <v>237</v>
      </c>
      <c r="F33" t="s">
        <v>32</v>
      </c>
      <c r="G33" t="s">
        <v>306</v>
      </c>
      <c r="H33" t="s">
        <v>307</v>
      </c>
      <c r="I33" t="s">
        <v>308</v>
      </c>
      <c r="J33">
        <v>0</v>
      </c>
      <c r="K33">
        <v>0</v>
      </c>
      <c r="L33" t="s">
        <v>29</v>
      </c>
    </row>
    <row r="34" spans="1:12" ht="14" x14ac:dyDescent="0.15">
      <c r="A34" t="s">
        <v>1242</v>
      </c>
      <c r="B34" t="s">
        <v>1243</v>
      </c>
      <c r="C34">
        <v>2021</v>
      </c>
      <c r="D34" t="s">
        <v>25</v>
      </c>
      <c r="E34" t="s">
        <v>1053</v>
      </c>
      <c r="F34" t="s">
        <v>75</v>
      </c>
      <c r="G34" t="s">
        <v>1244</v>
      </c>
      <c r="H34" t="s">
        <v>1245</v>
      </c>
      <c r="I34" t="s">
        <v>1246</v>
      </c>
      <c r="J34">
        <v>0</v>
      </c>
      <c r="K34">
        <v>0</v>
      </c>
      <c r="L34" t="s">
        <v>29</v>
      </c>
    </row>
    <row r="35" spans="1:12" ht="14" x14ac:dyDescent="0.15">
      <c r="A35" t="s">
        <v>835</v>
      </c>
      <c r="B35" t="s">
        <v>836</v>
      </c>
      <c r="C35">
        <v>2025</v>
      </c>
      <c r="D35" t="s">
        <v>837</v>
      </c>
      <c r="E35" t="s">
        <v>640</v>
      </c>
      <c r="F35" t="s">
        <v>32</v>
      </c>
      <c r="G35" t="s">
        <v>400</v>
      </c>
      <c r="H35" t="s">
        <v>838</v>
      </c>
      <c r="I35" t="s">
        <v>839</v>
      </c>
      <c r="J35">
        <v>0</v>
      </c>
      <c r="K35">
        <v>0</v>
      </c>
      <c r="L35" t="s">
        <v>29</v>
      </c>
    </row>
    <row r="36" spans="1:12" ht="14" x14ac:dyDescent="0.15">
      <c r="A36" t="s">
        <v>1190</v>
      </c>
      <c r="B36" t="s">
        <v>1191</v>
      </c>
      <c r="C36">
        <v>2025</v>
      </c>
      <c r="D36" t="s">
        <v>1192</v>
      </c>
      <c r="E36" t="s">
        <v>1053</v>
      </c>
      <c r="F36" t="s">
        <v>32</v>
      </c>
      <c r="G36" t="s">
        <v>1193</v>
      </c>
      <c r="H36" t="s">
        <v>1194</v>
      </c>
      <c r="I36" t="s">
        <v>1195</v>
      </c>
      <c r="J36">
        <v>1</v>
      </c>
      <c r="K36">
        <v>0</v>
      </c>
      <c r="L36" t="s">
        <v>29</v>
      </c>
    </row>
    <row r="37" spans="1:12" ht="14" x14ac:dyDescent="0.15">
      <c r="A37" t="s">
        <v>226</v>
      </c>
      <c r="B37" t="s">
        <v>227</v>
      </c>
      <c r="C37">
        <v>2020</v>
      </c>
      <c r="D37" t="s">
        <v>228</v>
      </c>
      <c r="E37" t="s">
        <v>155</v>
      </c>
      <c r="F37" t="s">
        <v>32</v>
      </c>
      <c r="G37" t="s">
        <v>229</v>
      </c>
      <c r="H37" t="s">
        <v>230</v>
      </c>
      <c r="I37" t="s">
        <v>231</v>
      </c>
      <c r="J37">
        <v>0</v>
      </c>
      <c r="K37">
        <v>0</v>
      </c>
      <c r="L37" t="s">
        <v>29</v>
      </c>
    </row>
    <row r="38" spans="1:12" ht="14" x14ac:dyDescent="0.15">
      <c r="A38" t="s">
        <v>986</v>
      </c>
      <c r="B38" t="s">
        <v>987</v>
      </c>
      <c r="C38">
        <v>2025</v>
      </c>
      <c r="D38" t="s">
        <v>988</v>
      </c>
      <c r="E38" t="s">
        <v>957</v>
      </c>
      <c r="F38" t="s">
        <v>75</v>
      </c>
      <c r="G38" t="s">
        <v>826</v>
      </c>
      <c r="H38" t="s">
        <v>989</v>
      </c>
      <c r="I38" t="s">
        <v>990</v>
      </c>
      <c r="J38">
        <v>0</v>
      </c>
      <c r="K38">
        <v>0</v>
      </c>
      <c r="L38" t="s">
        <v>29</v>
      </c>
    </row>
    <row r="39" spans="1:12" ht="14" x14ac:dyDescent="0.15">
      <c r="A39" t="s">
        <v>358</v>
      </c>
      <c r="B39" t="s">
        <v>359</v>
      </c>
      <c r="C39">
        <v>2024</v>
      </c>
      <c r="D39" t="s">
        <v>126</v>
      </c>
      <c r="E39" t="s">
        <v>321</v>
      </c>
      <c r="F39" t="s">
        <v>17</v>
      </c>
      <c r="G39" t="s">
        <v>360</v>
      </c>
      <c r="H39" t="s">
        <v>361</v>
      </c>
      <c r="I39" t="s">
        <v>362</v>
      </c>
      <c r="J39">
        <v>0</v>
      </c>
      <c r="K39">
        <v>0</v>
      </c>
      <c r="L39" t="s">
        <v>29</v>
      </c>
    </row>
    <row r="40" spans="1:12" ht="14" x14ac:dyDescent="0.15">
      <c r="A40" t="s">
        <v>375</v>
      </c>
      <c r="B40" t="s">
        <v>376</v>
      </c>
      <c r="C40">
        <v>2024</v>
      </c>
      <c r="D40" t="s">
        <v>377</v>
      </c>
      <c r="E40" t="s">
        <v>321</v>
      </c>
      <c r="F40" t="s">
        <v>17</v>
      </c>
      <c r="G40" t="s">
        <v>378</v>
      </c>
      <c r="H40" t="s">
        <v>379</v>
      </c>
      <c r="I40" t="s">
        <v>380</v>
      </c>
      <c r="J40">
        <v>0</v>
      </c>
      <c r="K40">
        <v>0</v>
      </c>
      <c r="L40" t="s">
        <v>29</v>
      </c>
    </row>
    <row r="41" spans="1:12" ht="14" hidden="1" x14ac:dyDescent="0.15">
      <c r="A41" t="s">
        <v>569</v>
      </c>
      <c r="B41" t="s">
        <v>570</v>
      </c>
      <c r="C41">
        <v>2019</v>
      </c>
      <c r="D41" t="s">
        <v>571</v>
      </c>
      <c r="E41" t="s">
        <v>321</v>
      </c>
      <c r="F41" t="s">
        <v>32</v>
      </c>
      <c r="G41" t="s">
        <v>572</v>
      </c>
      <c r="H41" t="s">
        <v>573</v>
      </c>
      <c r="I41" t="s">
        <v>574</v>
      </c>
      <c r="J41">
        <v>0</v>
      </c>
      <c r="K41">
        <v>0</v>
      </c>
      <c r="L41" t="s">
        <v>29</v>
      </c>
    </row>
    <row r="42" spans="1:12" ht="14" x14ac:dyDescent="0.15">
      <c r="A42" t="s">
        <v>271</v>
      </c>
      <c r="B42" t="s">
        <v>272</v>
      </c>
      <c r="C42">
        <v>2025</v>
      </c>
      <c r="D42" t="s">
        <v>25</v>
      </c>
      <c r="E42" t="s">
        <v>237</v>
      </c>
      <c r="F42" t="s">
        <v>32</v>
      </c>
      <c r="G42" t="s">
        <v>273</v>
      </c>
      <c r="H42" t="s">
        <v>274</v>
      </c>
      <c r="I42" t="s">
        <v>275</v>
      </c>
      <c r="J42">
        <v>1</v>
      </c>
      <c r="K42">
        <v>0</v>
      </c>
      <c r="L42" t="s">
        <v>29</v>
      </c>
    </row>
    <row r="43" spans="1:12" ht="14" x14ac:dyDescent="0.15">
      <c r="A43" t="s">
        <v>201</v>
      </c>
      <c r="B43" t="s">
        <v>202</v>
      </c>
      <c r="C43">
        <v>2022</v>
      </c>
      <c r="D43" t="s">
        <v>203</v>
      </c>
      <c r="E43" t="s">
        <v>155</v>
      </c>
      <c r="F43" t="s">
        <v>32</v>
      </c>
      <c r="G43" t="s">
        <v>204</v>
      </c>
      <c r="H43" t="s">
        <v>205</v>
      </c>
      <c r="I43" t="s">
        <v>206</v>
      </c>
      <c r="J43">
        <v>0</v>
      </c>
      <c r="K43">
        <v>0</v>
      </c>
      <c r="L43" t="s">
        <v>29</v>
      </c>
    </row>
    <row r="44" spans="1:12" ht="14" hidden="1" x14ac:dyDescent="0.15">
      <c r="A44" t="s">
        <v>1247</v>
      </c>
      <c r="B44" t="s">
        <v>1248</v>
      </c>
      <c r="C44">
        <v>2019</v>
      </c>
      <c r="D44" t="s">
        <v>268</v>
      </c>
      <c r="E44" t="s">
        <v>1053</v>
      </c>
      <c r="F44" t="s">
        <v>75</v>
      </c>
      <c r="G44" t="s">
        <v>1249</v>
      </c>
      <c r="H44" t="s">
        <v>1250</v>
      </c>
      <c r="I44" t="s">
        <v>1251</v>
      </c>
      <c r="J44">
        <v>0</v>
      </c>
      <c r="K44">
        <v>0</v>
      </c>
      <c r="L44" t="s">
        <v>29</v>
      </c>
    </row>
    <row r="45" spans="1:12" ht="14" x14ac:dyDescent="0.15">
      <c r="A45" t="s">
        <v>525</v>
      </c>
      <c r="B45" t="s">
        <v>526</v>
      </c>
      <c r="C45">
        <v>2020</v>
      </c>
      <c r="D45" t="s">
        <v>25</v>
      </c>
      <c r="E45" t="s">
        <v>321</v>
      </c>
      <c r="F45" t="s">
        <v>75</v>
      </c>
      <c r="G45" t="s">
        <v>527</v>
      </c>
      <c r="H45" t="s">
        <v>528</v>
      </c>
      <c r="I45" t="s">
        <v>529</v>
      </c>
      <c r="J45">
        <v>0</v>
      </c>
      <c r="K45">
        <v>0</v>
      </c>
      <c r="L45" t="s">
        <v>29</v>
      </c>
    </row>
    <row r="46" spans="1:12" ht="14" hidden="1" x14ac:dyDescent="0.15">
      <c r="A46" t="s">
        <v>583</v>
      </c>
      <c r="B46" t="s">
        <v>584</v>
      </c>
      <c r="C46">
        <v>2018</v>
      </c>
      <c r="D46" t="s">
        <v>126</v>
      </c>
      <c r="E46" t="s">
        <v>321</v>
      </c>
      <c r="F46" t="s">
        <v>75</v>
      </c>
      <c r="G46" t="s">
        <v>585</v>
      </c>
      <c r="H46" t="s">
        <v>586</v>
      </c>
      <c r="I46" t="s">
        <v>587</v>
      </c>
      <c r="J46">
        <v>0</v>
      </c>
      <c r="K46">
        <v>0</v>
      </c>
      <c r="L46" t="s">
        <v>29</v>
      </c>
    </row>
    <row r="47" spans="1:12" ht="14" x14ac:dyDescent="0.15">
      <c r="A47" t="s">
        <v>79</v>
      </c>
      <c r="B47" t="s">
        <v>80</v>
      </c>
      <c r="C47">
        <v>2021</v>
      </c>
      <c r="D47" t="s">
        <v>25</v>
      </c>
      <c r="E47" t="s">
        <v>16</v>
      </c>
      <c r="F47" t="s">
        <v>32</v>
      </c>
      <c r="G47" t="s">
        <v>81</v>
      </c>
      <c r="H47" t="s">
        <v>82</v>
      </c>
      <c r="I47" t="s">
        <v>83</v>
      </c>
      <c r="J47">
        <v>1</v>
      </c>
      <c r="K47">
        <v>0</v>
      </c>
      <c r="L47" t="s">
        <v>29</v>
      </c>
    </row>
    <row r="48" spans="1:12" ht="14" x14ac:dyDescent="0.15">
      <c r="A48" t="s">
        <v>1227</v>
      </c>
      <c r="B48" t="s">
        <v>1228</v>
      </c>
      <c r="C48">
        <v>2023</v>
      </c>
      <c r="D48" t="s">
        <v>126</v>
      </c>
      <c r="E48" t="s">
        <v>1053</v>
      </c>
      <c r="F48" t="s">
        <v>75</v>
      </c>
      <c r="G48" t="s">
        <v>81</v>
      </c>
      <c r="H48" t="s">
        <v>1229</v>
      </c>
      <c r="I48" t="s">
        <v>1230</v>
      </c>
      <c r="J48">
        <v>0</v>
      </c>
      <c r="K48">
        <v>0</v>
      </c>
      <c r="L48" t="s">
        <v>29</v>
      </c>
    </row>
    <row r="49" spans="1:12" ht="14" x14ac:dyDescent="0.15">
      <c r="A49" t="s">
        <v>615</v>
      </c>
      <c r="B49" t="s">
        <v>616</v>
      </c>
      <c r="C49">
        <v>2023</v>
      </c>
      <c r="D49" t="s">
        <v>25</v>
      </c>
      <c r="E49" t="s">
        <v>599</v>
      </c>
      <c r="F49" t="s">
        <v>32</v>
      </c>
      <c r="G49" t="s">
        <v>617</v>
      </c>
      <c r="H49" t="s">
        <v>618</v>
      </c>
      <c r="I49" t="s">
        <v>619</v>
      </c>
      <c r="J49">
        <v>1</v>
      </c>
      <c r="K49">
        <v>0</v>
      </c>
      <c r="L49" t="s">
        <v>29</v>
      </c>
    </row>
    <row r="50" spans="1:12" ht="14" x14ac:dyDescent="0.15">
      <c r="A50" t="s">
        <v>536</v>
      </c>
      <c r="B50" t="s">
        <v>537</v>
      </c>
      <c r="C50">
        <v>2020</v>
      </c>
      <c r="D50" t="s">
        <v>538</v>
      </c>
      <c r="E50" t="s">
        <v>321</v>
      </c>
      <c r="F50" t="s">
        <v>75</v>
      </c>
      <c r="G50" t="s">
        <v>539</v>
      </c>
      <c r="H50" t="s">
        <v>540</v>
      </c>
      <c r="I50" t="s">
        <v>541</v>
      </c>
      <c r="J50">
        <v>0</v>
      </c>
      <c r="K50">
        <v>0</v>
      </c>
      <c r="L50" t="s">
        <v>29</v>
      </c>
    </row>
    <row r="51" spans="1:12" ht="14" x14ac:dyDescent="0.15">
      <c r="A51" t="s">
        <v>173</v>
      </c>
      <c r="B51" t="s">
        <v>174</v>
      </c>
      <c r="C51">
        <v>2025</v>
      </c>
      <c r="D51" t="s">
        <v>175</v>
      </c>
      <c r="E51" t="s">
        <v>155</v>
      </c>
      <c r="F51" t="s">
        <v>32</v>
      </c>
      <c r="G51" t="s">
        <v>176</v>
      </c>
      <c r="H51" t="s">
        <v>177</v>
      </c>
      <c r="I51" t="s">
        <v>178</v>
      </c>
      <c r="J51">
        <v>0</v>
      </c>
      <c r="K51">
        <v>0</v>
      </c>
      <c r="L51" t="s">
        <v>29</v>
      </c>
    </row>
    <row r="52" spans="1:12" ht="14" x14ac:dyDescent="0.15">
      <c r="A52" t="s">
        <v>43</v>
      </c>
      <c r="B52" t="s">
        <v>44</v>
      </c>
      <c r="C52">
        <v>2025</v>
      </c>
      <c r="D52" t="s">
        <v>25</v>
      </c>
      <c r="E52" t="s">
        <v>16</v>
      </c>
      <c r="F52" t="s">
        <v>32</v>
      </c>
      <c r="G52" t="s">
        <v>45</v>
      </c>
      <c r="H52" t="s">
        <v>46</v>
      </c>
      <c r="I52" t="s">
        <v>47</v>
      </c>
      <c r="J52">
        <v>0</v>
      </c>
      <c r="K52">
        <v>0</v>
      </c>
      <c r="L52" t="s">
        <v>29</v>
      </c>
    </row>
    <row r="53" spans="1:12" ht="14" x14ac:dyDescent="0.15">
      <c r="A53" t="s">
        <v>620</v>
      </c>
      <c r="B53" t="s">
        <v>621</v>
      </c>
      <c r="C53">
        <v>2022</v>
      </c>
      <c r="D53" t="s">
        <v>622</v>
      </c>
      <c r="E53" t="s">
        <v>599</v>
      </c>
      <c r="F53" t="s">
        <v>32</v>
      </c>
      <c r="G53" t="s">
        <v>45</v>
      </c>
      <c r="H53" t="s">
        <v>623</v>
      </c>
      <c r="I53" t="s">
        <v>624</v>
      </c>
      <c r="J53">
        <v>0</v>
      </c>
      <c r="K53">
        <v>0</v>
      </c>
      <c r="L53" t="s">
        <v>29</v>
      </c>
    </row>
    <row r="54" spans="1:12" ht="14" hidden="1" x14ac:dyDescent="0.15">
      <c r="A54" t="s">
        <v>563</v>
      </c>
      <c r="B54" t="s">
        <v>564</v>
      </c>
      <c r="C54">
        <v>2019</v>
      </c>
      <c r="D54" t="s">
        <v>565</v>
      </c>
      <c r="E54" t="s">
        <v>321</v>
      </c>
      <c r="F54" t="s">
        <v>75</v>
      </c>
      <c r="G54" t="s">
        <v>566</v>
      </c>
      <c r="H54" t="s">
        <v>567</v>
      </c>
      <c r="I54" t="s">
        <v>568</v>
      </c>
      <c r="J54">
        <v>0</v>
      </c>
      <c r="K54">
        <v>0</v>
      </c>
      <c r="L54" t="s">
        <v>29</v>
      </c>
    </row>
    <row r="55" spans="1:12" ht="14" x14ac:dyDescent="0.15">
      <c r="A55" t="s">
        <v>1170</v>
      </c>
      <c r="B55" t="s">
        <v>1171</v>
      </c>
      <c r="C55">
        <v>2025</v>
      </c>
      <c r="D55" t="s">
        <v>1172</v>
      </c>
      <c r="E55" t="s">
        <v>1053</v>
      </c>
      <c r="F55" t="s">
        <v>17</v>
      </c>
      <c r="G55" t="s">
        <v>1173</v>
      </c>
      <c r="H55" t="s">
        <v>1174</v>
      </c>
      <c r="I55" t="s">
        <v>1175</v>
      </c>
      <c r="J55">
        <v>0</v>
      </c>
      <c r="K55">
        <v>0</v>
      </c>
      <c r="L55" t="s">
        <v>29</v>
      </c>
    </row>
    <row r="56" spans="1:12" ht="14" x14ac:dyDescent="0.15">
      <c r="A56" t="s">
        <v>542</v>
      </c>
      <c r="B56" t="s">
        <v>543</v>
      </c>
      <c r="C56">
        <v>2020</v>
      </c>
      <c r="D56" t="s">
        <v>25</v>
      </c>
      <c r="E56" t="s">
        <v>321</v>
      </c>
      <c r="F56" t="s">
        <v>75</v>
      </c>
      <c r="G56" t="s">
        <v>544</v>
      </c>
      <c r="H56" t="s">
        <v>545</v>
      </c>
      <c r="I56" t="s">
        <v>546</v>
      </c>
      <c r="J56">
        <v>0</v>
      </c>
      <c r="K56">
        <v>0</v>
      </c>
      <c r="L56" t="s">
        <v>29</v>
      </c>
    </row>
    <row r="57" spans="1:12" ht="14" x14ac:dyDescent="0.15">
      <c r="A57" t="s">
        <v>1103</v>
      </c>
      <c r="B57" t="s">
        <v>1104</v>
      </c>
      <c r="C57">
        <v>2025</v>
      </c>
      <c r="D57" t="s">
        <v>770</v>
      </c>
      <c r="E57" t="s">
        <v>1053</v>
      </c>
      <c r="F57" t="s">
        <v>75</v>
      </c>
      <c r="G57" t="s">
        <v>76</v>
      </c>
      <c r="H57" t="s">
        <v>1105</v>
      </c>
      <c r="I57" t="s">
        <v>1106</v>
      </c>
      <c r="J57">
        <v>0</v>
      </c>
      <c r="K57">
        <v>0</v>
      </c>
      <c r="L57" t="s">
        <v>29</v>
      </c>
    </row>
    <row r="58" spans="1:12" ht="14" x14ac:dyDescent="0.15">
      <c r="A58" t="s">
        <v>418</v>
      </c>
      <c r="B58" t="s">
        <v>419</v>
      </c>
      <c r="C58">
        <v>2023</v>
      </c>
      <c r="D58" t="s">
        <v>420</v>
      </c>
      <c r="E58" t="s">
        <v>321</v>
      </c>
      <c r="F58" t="s">
        <v>17</v>
      </c>
      <c r="G58" t="s">
        <v>421</v>
      </c>
      <c r="H58" t="s">
        <v>422</v>
      </c>
      <c r="I58" t="s">
        <v>423</v>
      </c>
      <c r="J58">
        <v>0</v>
      </c>
      <c r="K58">
        <v>0</v>
      </c>
      <c r="L58" t="s">
        <v>29</v>
      </c>
    </row>
    <row r="59" spans="1:12" ht="14" x14ac:dyDescent="0.15">
      <c r="A59" t="s">
        <v>449</v>
      </c>
      <c r="B59" t="s">
        <v>450</v>
      </c>
      <c r="C59">
        <v>2022</v>
      </c>
      <c r="D59" t="s">
        <v>25</v>
      </c>
      <c r="E59" t="s">
        <v>321</v>
      </c>
      <c r="F59" t="s">
        <v>75</v>
      </c>
      <c r="G59" t="s">
        <v>451</v>
      </c>
      <c r="H59" t="s">
        <v>452</v>
      </c>
      <c r="I59" t="s">
        <v>453</v>
      </c>
      <c r="J59">
        <v>0</v>
      </c>
      <c r="K59">
        <v>0</v>
      </c>
      <c r="L59" t="s">
        <v>29</v>
      </c>
    </row>
    <row r="60" spans="1:12" ht="14" x14ac:dyDescent="0.15">
      <c r="A60" t="s">
        <v>465</v>
      </c>
      <c r="B60" t="s">
        <v>466</v>
      </c>
      <c r="C60">
        <v>2022</v>
      </c>
      <c r="D60" t="s">
        <v>467</v>
      </c>
      <c r="E60" t="s">
        <v>321</v>
      </c>
      <c r="F60" t="s">
        <v>75</v>
      </c>
      <c r="G60" t="s">
        <v>468</v>
      </c>
      <c r="H60" t="s">
        <v>469</v>
      </c>
      <c r="I60" t="s">
        <v>470</v>
      </c>
      <c r="J60">
        <v>0</v>
      </c>
      <c r="K60">
        <v>0</v>
      </c>
      <c r="L60" t="s">
        <v>29</v>
      </c>
    </row>
    <row r="61" spans="1:12" ht="14" x14ac:dyDescent="0.15">
      <c r="A61" t="s">
        <v>625</v>
      </c>
      <c r="B61" t="s">
        <v>626</v>
      </c>
      <c r="C61">
        <v>2020</v>
      </c>
      <c r="D61" t="s">
        <v>559</v>
      </c>
      <c r="E61" t="s">
        <v>599</v>
      </c>
      <c r="F61" t="s">
        <v>17</v>
      </c>
      <c r="G61" t="s">
        <v>627</v>
      </c>
      <c r="H61" t="s">
        <v>628</v>
      </c>
      <c r="I61" t="s">
        <v>629</v>
      </c>
      <c r="J61">
        <v>0</v>
      </c>
      <c r="K61">
        <v>0</v>
      </c>
      <c r="L61" t="s">
        <v>29</v>
      </c>
    </row>
    <row r="62" spans="1:12" ht="14" x14ac:dyDescent="0.15">
      <c r="A62" t="s">
        <v>185</v>
      </c>
      <c r="B62" t="s">
        <v>186</v>
      </c>
      <c r="C62">
        <v>2023</v>
      </c>
      <c r="D62" t="s">
        <v>187</v>
      </c>
      <c r="E62" t="s">
        <v>155</v>
      </c>
      <c r="F62" t="s">
        <v>32</v>
      </c>
      <c r="G62" t="s">
        <v>188</v>
      </c>
      <c r="H62" t="s">
        <v>189</v>
      </c>
      <c r="I62" t="s">
        <v>190</v>
      </c>
      <c r="J62">
        <v>0</v>
      </c>
      <c r="K62">
        <v>0</v>
      </c>
      <c r="L62" t="s">
        <v>29</v>
      </c>
    </row>
    <row r="63" spans="1:12" ht="14" x14ac:dyDescent="0.15">
      <c r="A63" t="s">
        <v>758</v>
      </c>
      <c r="B63" t="s">
        <v>759</v>
      </c>
      <c r="C63">
        <v>2025</v>
      </c>
      <c r="D63" t="s">
        <v>268</v>
      </c>
      <c r="E63" t="s">
        <v>640</v>
      </c>
      <c r="F63" t="s">
        <v>75</v>
      </c>
      <c r="G63" t="s">
        <v>188</v>
      </c>
      <c r="H63" t="s">
        <v>760</v>
      </c>
      <c r="I63" t="s">
        <v>761</v>
      </c>
      <c r="J63">
        <v>0</v>
      </c>
      <c r="K63">
        <v>0</v>
      </c>
      <c r="L63" t="s">
        <v>29</v>
      </c>
    </row>
    <row r="64" spans="1:12" ht="14" x14ac:dyDescent="0.15">
      <c r="A64" t="s">
        <v>1110</v>
      </c>
      <c r="B64" t="s">
        <v>1111</v>
      </c>
      <c r="C64">
        <v>2025</v>
      </c>
      <c r="D64" t="s">
        <v>1112</v>
      </c>
      <c r="E64" t="s">
        <v>1053</v>
      </c>
      <c r="F64" t="s">
        <v>17</v>
      </c>
      <c r="G64" t="s">
        <v>188</v>
      </c>
      <c r="H64" t="s">
        <v>1113</v>
      </c>
      <c r="I64" t="s">
        <v>1114</v>
      </c>
      <c r="J64">
        <v>0</v>
      </c>
      <c r="K64">
        <v>0</v>
      </c>
      <c r="L64" t="s">
        <v>29</v>
      </c>
    </row>
    <row r="65" spans="1:12" ht="14" x14ac:dyDescent="0.15">
      <c r="A65" t="s">
        <v>297</v>
      </c>
      <c r="B65" t="s">
        <v>298</v>
      </c>
      <c r="C65">
        <v>2021</v>
      </c>
      <c r="D65" t="s">
        <v>299</v>
      </c>
      <c r="E65" t="s">
        <v>237</v>
      </c>
      <c r="F65" t="s">
        <v>32</v>
      </c>
      <c r="G65" t="s">
        <v>300</v>
      </c>
      <c r="H65" t="s">
        <v>301</v>
      </c>
      <c r="I65" t="s">
        <v>302</v>
      </c>
      <c r="J65">
        <v>0</v>
      </c>
      <c r="K65">
        <v>0</v>
      </c>
      <c r="L65" t="s">
        <v>29</v>
      </c>
    </row>
    <row r="66" spans="1:12" ht="14" x14ac:dyDescent="0.15">
      <c r="A66" t="s">
        <v>881</v>
      </c>
      <c r="B66" t="s">
        <v>882</v>
      </c>
      <c r="C66">
        <v>2024</v>
      </c>
      <c r="D66" t="s">
        <v>883</v>
      </c>
      <c r="E66" t="s">
        <v>640</v>
      </c>
      <c r="F66" t="s">
        <v>75</v>
      </c>
      <c r="G66" t="s">
        <v>884</v>
      </c>
      <c r="H66" t="s">
        <v>885</v>
      </c>
      <c r="I66" t="s">
        <v>886</v>
      </c>
      <c r="J66">
        <v>1</v>
      </c>
      <c r="K66">
        <v>0</v>
      </c>
      <c r="L66" t="s">
        <v>29</v>
      </c>
    </row>
    <row r="67" spans="1:12" ht="14" x14ac:dyDescent="0.15">
      <c r="A67" t="s">
        <v>547</v>
      </c>
      <c r="B67" t="s">
        <v>548</v>
      </c>
      <c r="C67">
        <v>2020</v>
      </c>
      <c r="D67" t="s">
        <v>549</v>
      </c>
      <c r="E67" t="s">
        <v>321</v>
      </c>
      <c r="F67" t="s">
        <v>32</v>
      </c>
      <c r="G67" t="s">
        <v>550</v>
      </c>
      <c r="H67" t="s">
        <v>551</v>
      </c>
      <c r="I67" t="s">
        <v>552</v>
      </c>
      <c r="J67">
        <v>0</v>
      </c>
      <c r="K67">
        <v>0</v>
      </c>
      <c r="L67" t="s">
        <v>29</v>
      </c>
    </row>
    <row r="68" spans="1:12" ht="14" x14ac:dyDescent="0.15">
      <c r="A68" t="s">
        <v>853</v>
      </c>
      <c r="B68" t="s">
        <v>854</v>
      </c>
      <c r="C68">
        <v>2025</v>
      </c>
      <c r="D68" t="s">
        <v>855</v>
      </c>
      <c r="E68" t="s">
        <v>640</v>
      </c>
      <c r="F68" t="s">
        <v>32</v>
      </c>
      <c r="G68" t="s">
        <v>856</v>
      </c>
      <c r="H68" t="s">
        <v>857</v>
      </c>
      <c r="I68" t="s">
        <v>858</v>
      </c>
      <c r="J68">
        <v>1</v>
      </c>
      <c r="K68">
        <v>0</v>
      </c>
      <c r="L68" t="s">
        <v>29</v>
      </c>
    </row>
    <row r="69" spans="1:12" ht="14" x14ac:dyDescent="0.15">
      <c r="A69" t="s">
        <v>829</v>
      </c>
      <c r="B69" t="s">
        <v>830</v>
      </c>
      <c r="C69">
        <v>2025</v>
      </c>
      <c r="D69" t="s">
        <v>831</v>
      </c>
      <c r="E69" t="s">
        <v>640</v>
      </c>
      <c r="F69" t="s">
        <v>32</v>
      </c>
      <c r="G69" t="s">
        <v>832</v>
      </c>
      <c r="H69" t="s">
        <v>833</v>
      </c>
      <c r="I69" t="s">
        <v>834</v>
      </c>
      <c r="J69">
        <v>1</v>
      </c>
      <c r="K69">
        <v>0</v>
      </c>
      <c r="L69" t="s">
        <v>29</v>
      </c>
    </row>
    <row r="70" spans="1:12" ht="14" x14ac:dyDescent="0.15">
      <c r="A70" t="s">
        <v>487</v>
      </c>
      <c r="B70" t="s">
        <v>488</v>
      </c>
      <c r="C70">
        <v>2021</v>
      </c>
      <c r="D70" t="s">
        <v>126</v>
      </c>
      <c r="E70" t="s">
        <v>321</v>
      </c>
      <c r="F70" t="s">
        <v>17</v>
      </c>
      <c r="G70" t="s">
        <v>489</v>
      </c>
      <c r="H70" t="s">
        <v>490</v>
      </c>
      <c r="I70" t="s">
        <v>491</v>
      </c>
      <c r="J70">
        <v>0</v>
      </c>
      <c r="K70">
        <v>0</v>
      </c>
      <c r="L70" t="s">
        <v>29</v>
      </c>
    </row>
    <row r="71" spans="1:12" ht="14" hidden="1" x14ac:dyDescent="0.15">
      <c r="A71" t="s">
        <v>1255</v>
      </c>
      <c r="B71" t="s">
        <v>1256</v>
      </c>
      <c r="C71">
        <v>2015</v>
      </c>
      <c r="D71" t="s">
        <v>1257</v>
      </c>
      <c r="E71" t="s">
        <v>1053</v>
      </c>
      <c r="F71" t="s">
        <v>75</v>
      </c>
      <c r="G71" t="s">
        <v>489</v>
      </c>
      <c r="H71" t="s">
        <v>1258</v>
      </c>
      <c r="I71" t="s">
        <v>1259</v>
      </c>
      <c r="J71">
        <v>0</v>
      </c>
      <c r="K71">
        <v>0</v>
      </c>
      <c r="L71" t="s">
        <v>29</v>
      </c>
    </row>
    <row r="72" spans="1:12" ht="14" x14ac:dyDescent="0.15">
      <c r="A72" t="s">
        <v>406</v>
      </c>
      <c r="B72" t="s">
        <v>407</v>
      </c>
      <c r="C72">
        <v>2023</v>
      </c>
      <c r="D72" t="s">
        <v>408</v>
      </c>
      <c r="E72" t="s">
        <v>321</v>
      </c>
      <c r="F72" t="s">
        <v>17</v>
      </c>
      <c r="G72" t="s">
        <v>409</v>
      </c>
      <c r="H72" t="s">
        <v>410</v>
      </c>
      <c r="I72" t="s">
        <v>411</v>
      </c>
      <c r="J72">
        <v>0</v>
      </c>
      <c r="K72">
        <v>0</v>
      </c>
      <c r="L72" t="s">
        <v>29</v>
      </c>
    </row>
    <row r="73" spans="1:12" ht="14" x14ac:dyDescent="0.15">
      <c r="A73" t="s">
        <v>124</v>
      </c>
      <c r="B73" t="s">
        <v>125</v>
      </c>
      <c r="C73">
        <v>2023</v>
      </c>
      <c r="D73" t="s">
        <v>126</v>
      </c>
      <c r="E73" t="s">
        <v>91</v>
      </c>
      <c r="F73" t="s">
        <v>75</v>
      </c>
      <c r="G73" t="s">
        <v>127</v>
      </c>
      <c r="H73" t="s">
        <v>128</v>
      </c>
      <c r="I73" t="s">
        <v>129</v>
      </c>
      <c r="J73">
        <v>0</v>
      </c>
      <c r="K73">
        <v>0</v>
      </c>
      <c r="L73" t="s">
        <v>29</v>
      </c>
    </row>
    <row r="74" spans="1:12" ht="14" x14ac:dyDescent="0.15">
      <c r="A74" t="s">
        <v>604</v>
      </c>
      <c r="B74" t="s">
        <v>605</v>
      </c>
      <c r="C74">
        <v>2024</v>
      </c>
      <c r="D74" t="s">
        <v>606</v>
      </c>
      <c r="E74" t="s">
        <v>599</v>
      </c>
      <c r="F74" t="s">
        <v>75</v>
      </c>
      <c r="G74" t="s">
        <v>607</v>
      </c>
      <c r="H74" t="s">
        <v>608</v>
      </c>
      <c r="I74" t="s">
        <v>609</v>
      </c>
      <c r="J74">
        <v>0</v>
      </c>
      <c r="K74">
        <v>0</v>
      </c>
      <c r="L74" t="s">
        <v>29</v>
      </c>
    </row>
    <row r="75" spans="1:12" ht="14" x14ac:dyDescent="0.15">
      <c r="A75" t="s">
        <v>54</v>
      </c>
      <c r="B75" t="s">
        <v>55</v>
      </c>
      <c r="C75">
        <v>2025</v>
      </c>
      <c r="D75" t="s">
        <v>56</v>
      </c>
      <c r="E75" t="s">
        <v>16</v>
      </c>
      <c r="F75" t="s">
        <v>32</v>
      </c>
      <c r="G75" t="s">
        <v>57</v>
      </c>
      <c r="H75" t="s">
        <v>58</v>
      </c>
      <c r="I75" t="s">
        <v>59</v>
      </c>
      <c r="J75">
        <v>1</v>
      </c>
      <c r="K75">
        <v>0</v>
      </c>
      <c r="L75" t="s">
        <v>29</v>
      </c>
    </row>
    <row r="76" spans="1:12" ht="14" x14ac:dyDescent="0.15">
      <c r="A76" t="s">
        <v>1236</v>
      </c>
      <c r="B76" t="s">
        <v>1237</v>
      </c>
      <c r="C76">
        <v>2022</v>
      </c>
      <c r="D76" t="s">
        <v>1238</v>
      </c>
      <c r="E76" t="s">
        <v>1053</v>
      </c>
      <c r="F76" t="s">
        <v>32</v>
      </c>
      <c r="G76" t="s">
        <v>1239</v>
      </c>
      <c r="H76" t="s">
        <v>1240</v>
      </c>
      <c r="I76" t="s">
        <v>1241</v>
      </c>
      <c r="J76">
        <v>0</v>
      </c>
      <c r="K76">
        <v>0</v>
      </c>
      <c r="L76" t="s">
        <v>29</v>
      </c>
    </row>
    <row r="77" spans="1:12" ht="14" x14ac:dyDescent="0.15">
      <c r="A77" t="s">
        <v>481</v>
      </c>
      <c r="B77" t="s">
        <v>482</v>
      </c>
      <c r="C77">
        <v>2021</v>
      </c>
      <c r="D77" t="s">
        <v>483</v>
      </c>
      <c r="E77" t="s">
        <v>321</v>
      </c>
      <c r="F77" t="s">
        <v>75</v>
      </c>
      <c r="G77" t="s">
        <v>484</v>
      </c>
      <c r="H77" t="s">
        <v>485</v>
      </c>
      <c r="I77" t="s">
        <v>486</v>
      </c>
      <c r="J77">
        <v>0</v>
      </c>
      <c r="K77">
        <v>0</v>
      </c>
      <c r="L77" t="s">
        <v>29</v>
      </c>
    </row>
    <row r="78" spans="1:12" ht="14" x14ac:dyDescent="0.15">
      <c r="A78" t="s">
        <v>37</v>
      </c>
      <c r="B78" t="s">
        <v>38</v>
      </c>
      <c r="C78">
        <v>2025</v>
      </c>
      <c r="D78" t="s">
        <v>39</v>
      </c>
      <c r="E78" t="s">
        <v>16</v>
      </c>
      <c r="F78" t="s">
        <v>17</v>
      </c>
      <c r="G78" t="s">
        <v>40</v>
      </c>
      <c r="H78" t="s">
        <v>41</v>
      </c>
      <c r="I78" t="s">
        <v>42</v>
      </c>
      <c r="J78">
        <v>1</v>
      </c>
      <c r="K78">
        <v>0</v>
      </c>
      <c r="L78" t="s">
        <v>29</v>
      </c>
    </row>
    <row r="79" spans="1:12" ht="14" x14ac:dyDescent="0.15">
      <c r="A79" t="s">
        <v>788</v>
      </c>
      <c r="B79" t="s">
        <v>736</v>
      </c>
      <c r="C79">
        <v>2025</v>
      </c>
      <c r="D79" t="s">
        <v>789</v>
      </c>
      <c r="E79" t="s">
        <v>640</v>
      </c>
      <c r="F79" t="s">
        <v>17</v>
      </c>
      <c r="G79" t="s">
        <v>771</v>
      </c>
      <c r="H79" t="s">
        <v>790</v>
      </c>
      <c r="I79" t="s">
        <v>791</v>
      </c>
      <c r="J79">
        <v>0</v>
      </c>
      <c r="K79">
        <v>0</v>
      </c>
      <c r="L79" t="s">
        <v>29</v>
      </c>
    </row>
    <row r="80" spans="1:12" ht="14" x14ac:dyDescent="0.15">
      <c r="A80" t="s">
        <v>768</v>
      </c>
      <c r="B80" t="s">
        <v>769</v>
      </c>
      <c r="C80">
        <v>2025</v>
      </c>
      <c r="D80" t="s">
        <v>770</v>
      </c>
      <c r="E80" t="s">
        <v>640</v>
      </c>
      <c r="F80" t="s">
        <v>75</v>
      </c>
      <c r="G80" t="s">
        <v>771</v>
      </c>
      <c r="H80" t="s">
        <v>772</v>
      </c>
      <c r="I80" t="s">
        <v>773</v>
      </c>
      <c r="J80">
        <v>0</v>
      </c>
      <c r="K80">
        <v>0</v>
      </c>
      <c r="L80" t="s">
        <v>29</v>
      </c>
    </row>
    <row r="81" spans="1:12" ht="14" hidden="1" x14ac:dyDescent="0.15">
      <c r="A81" t="s">
        <v>634</v>
      </c>
      <c r="B81" t="s">
        <v>635</v>
      </c>
      <c r="C81">
        <v>2010</v>
      </c>
      <c r="D81" t="s">
        <v>187</v>
      </c>
      <c r="E81" t="s">
        <v>599</v>
      </c>
      <c r="F81" t="s">
        <v>75</v>
      </c>
      <c r="G81" t="s">
        <v>636</v>
      </c>
      <c r="H81" t="s">
        <v>637</v>
      </c>
      <c r="J81">
        <v>0</v>
      </c>
      <c r="K81">
        <v>1</v>
      </c>
      <c r="L81" t="s">
        <v>78</v>
      </c>
    </row>
    <row r="82" spans="1:12" ht="14" x14ac:dyDescent="0.15">
      <c r="A82" t="s">
        <v>1115</v>
      </c>
      <c r="B82" t="s">
        <v>1116</v>
      </c>
      <c r="C82">
        <v>2025</v>
      </c>
      <c r="D82" t="s">
        <v>25</v>
      </c>
      <c r="E82" t="s">
        <v>1053</v>
      </c>
      <c r="F82" t="s">
        <v>75</v>
      </c>
      <c r="G82" t="s">
        <v>1117</v>
      </c>
      <c r="H82" t="s">
        <v>1118</v>
      </c>
      <c r="I82" t="s">
        <v>1119</v>
      </c>
      <c r="J82">
        <v>1</v>
      </c>
      <c r="K82">
        <v>0</v>
      </c>
      <c r="L82" t="s">
        <v>29</v>
      </c>
    </row>
    <row r="83" spans="1:12" ht="14" x14ac:dyDescent="0.15">
      <c r="A83" t="s">
        <v>610</v>
      </c>
      <c r="B83" t="s">
        <v>611</v>
      </c>
      <c r="C83">
        <v>2024</v>
      </c>
      <c r="D83" t="s">
        <v>25</v>
      </c>
      <c r="E83" t="s">
        <v>599</v>
      </c>
      <c r="F83" t="s">
        <v>32</v>
      </c>
      <c r="G83" t="s">
        <v>612</v>
      </c>
      <c r="H83" t="s">
        <v>613</v>
      </c>
      <c r="I83" t="s">
        <v>614</v>
      </c>
      <c r="J83">
        <v>1</v>
      </c>
      <c r="K83">
        <v>0</v>
      </c>
      <c r="L83" t="s">
        <v>29</v>
      </c>
    </row>
    <row r="84" spans="1:12" ht="14" x14ac:dyDescent="0.15">
      <c r="A84" t="s">
        <v>454</v>
      </c>
      <c r="B84" t="s">
        <v>455</v>
      </c>
      <c r="C84">
        <v>2022</v>
      </c>
      <c r="D84" t="s">
        <v>456</v>
      </c>
      <c r="E84" t="s">
        <v>321</v>
      </c>
      <c r="F84" t="s">
        <v>75</v>
      </c>
      <c r="G84" t="s">
        <v>457</v>
      </c>
      <c r="H84" t="s">
        <v>458</v>
      </c>
      <c r="I84" t="s">
        <v>459</v>
      </c>
      <c r="J84">
        <v>0</v>
      </c>
      <c r="K84">
        <v>0</v>
      </c>
      <c r="L84" t="s">
        <v>29</v>
      </c>
    </row>
    <row r="85" spans="1:12" ht="14" x14ac:dyDescent="0.15">
      <c r="A85" t="s">
        <v>1128</v>
      </c>
      <c r="B85" t="s">
        <v>830</v>
      </c>
      <c r="C85">
        <v>2025</v>
      </c>
      <c r="D85" t="s">
        <v>831</v>
      </c>
      <c r="E85" t="s">
        <v>1053</v>
      </c>
      <c r="F85" t="s">
        <v>17</v>
      </c>
      <c r="G85" t="s">
        <v>726</v>
      </c>
      <c r="H85" t="s">
        <v>1129</v>
      </c>
      <c r="I85" t="s">
        <v>1130</v>
      </c>
      <c r="J85">
        <v>1</v>
      </c>
      <c r="K85">
        <v>0</v>
      </c>
      <c r="L85" t="s">
        <v>29</v>
      </c>
    </row>
    <row r="86" spans="1:12" ht="14" x14ac:dyDescent="0.15">
      <c r="A86" t="s">
        <v>1196</v>
      </c>
      <c r="B86" t="s">
        <v>1197</v>
      </c>
      <c r="C86">
        <v>2025</v>
      </c>
      <c r="D86" t="s">
        <v>1198</v>
      </c>
      <c r="E86" t="s">
        <v>1053</v>
      </c>
      <c r="F86" t="s">
        <v>32</v>
      </c>
      <c r="G86" t="s">
        <v>1199</v>
      </c>
      <c r="H86" t="s">
        <v>1200</v>
      </c>
      <c r="I86" t="s">
        <v>1201</v>
      </c>
      <c r="J86">
        <v>1</v>
      </c>
      <c r="K86">
        <v>0</v>
      </c>
      <c r="L86" t="s">
        <v>29</v>
      </c>
    </row>
    <row r="87" spans="1:12" ht="14" x14ac:dyDescent="0.15">
      <c r="A87" t="s">
        <v>471</v>
      </c>
      <c r="B87" t="s">
        <v>472</v>
      </c>
      <c r="C87">
        <v>2022</v>
      </c>
      <c r="D87" t="s">
        <v>420</v>
      </c>
      <c r="E87" t="s">
        <v>321</v>
      </c>
      <c r="F87" t="s">
        <v>32</v>
      </c>
      <c r="G87" t="s">
        <v>473</v>
      </c>
      <c r="H87" t="s">
        <v>474</v>
      </c>
      <c r="I87" t="s">
        <v>475</v>
      </c>
      <c r="J87">
        <v>0</v>
      </c>
      <c r="K87">
        <v>0</v>
      </c>
      <c r="L87" t="s">
        <v>29</v>
      </c>
    </row>
    <row r="88" spans="1:12" ht="14" x14ac:dyDescent="0.15">
      <c r="A88" t="s">
        <v>412</v>
      </c>
      <c r="B88" t="s">
        <v>413</v>
      </c>
      <c r="C88">
        <v>2023</v>
      </c>
      <c r="D88" t="s">
        <v>414</v>
      </c>
      <c r="E88" t="s">
        <v>321</v>
      </c>
      <c r="F88" t="s">
        <v>75</v>
      </c>
      <c r="G88" t="s">
        <v>415</v>
      </c>
      <c r="H88" t="s">
        <v>416</v>
      </c>
      <c r="I88" t="s">
        <v>417</v>
      </c>
      <c r="J88">
        <v>0</v>
      </c>
      <c r="K88">
        <v>0</v>
      </c>
      <c r="L88" t="s">
        <v>29</v>
      </c>
    </row>
    <row r="89" spans="1:12" ht="14" x14ac:dyDescent="0.15">
      <c r="A89" t="s">
        <v>748</v>
      </c>
      <c r="B89" t="s">
        <v>749</v>
      </c>
      <c r="C89">
        <v>2025</v>
      </c>
      <c r="D89" t="s">
        <v>25</v>
      </c>
      <c r="E89" t="s">
        <v>640</v>
      </c>
      <c r="F89" t="s">
        <v>75</v>
      </c>
      <c r="G89" t="s">
        <v>415</v>
      </c>
      <c r="H89" t="s">
        <v>750</v>
      </c>
      <c r="I89" t="s">
        <v>751</v>
      </c>
      <c r="J89">
        <v>0</v>
      </c>
      <c r="K89">
        <v>0</v>
      </c>
      <c r="L89" t="s">
        <v>29</v>
      </c>
    </row>
    <row r="90" spans="1:12" ht="14" x14ac:dyDescent="0.15">
      <c r="A90" t="s">
        <v>444</v>
      </c>
      <c r="B90" t="s">
        <v>445</v>
      </c>
      <c r="C90">
        <v>2022</v>
      </c>
      <c r="D90" t="s">
        <v>25</v>
      </c>
      <c r="E90" t="s">
        <v>321</v>
      </c>
      <c r="F90" t="s">
        <v>17</v>
      </c>
      <c r="G90" t="s">
        <v>446</v>
      </c>
      <c r="H90" t="s">
        <v>447</v>
      </c>
      <c r="I90" t="s">
        <v>448</v>
      </c>
      <c r="J90">
        <v>0</v>
      </c>
      <c r="K90">
        <v>0</v>
      </c>
      <c r="L90" t="s">
        <v>29</v>
      </c>
    </row>
    <row r="91" spans="1:12" ht="14" x14ac:dyDescent="0.15">
      <c r="A91" t="s">
        <v>740</v>
      </c>
      <c r="B91" t="s">
        <v>741</v>
      </c>
      <c r="C91">
        <v>2025</v>
      </c>
      <c r="D91" t="s">
        <v>742</v>
      </c>
      <c r="E91" t="s">
        <v>640</v>
      </c>
      <c r="F91" t="s">
        <v>17</v>
      </c>
      <c r="G91" t="s">
        <v>122</v>
      </c>
      <c r="H91" t="s">
        <v>743</v>
      </c>
      <c r="I91" t="s">
        <v>744</v>
      </c>
      <c r="J91">
        <v>1</v>
      </c>
      <c r="K91">
        <v>0</v>
      </c>
      <c r="L91" t="s">
        <v>29</v>
      </c>
    </row>
    <row r="92" spans="1:12" ht="14" x14ac:dyDescent="0.15">
      <c r="A92" t="s">
        <v>1158</v>
      </c>
      <c r="B92" t="s">
        <v>1159</v>
      </c>
      <c r="C92">
        <v>2025</v>
      </c>
      <c r="D92" t="s">
        <v>420</v>
      </c>
      <c r="E92" t="s">
        <v>1053</v>
      </c>
      <c r="F92" t="s">
        <v>75</v>
      </c>
      <c r="G92" t="s">
        <v>122</v>
      </c>
      <c r="H92" t="s">
        <v>1160</v>
      </c>
      <c r="I92" t="s">
        <v>1161</v>
      </c>
      <c r="J92">
        <v>0</v>
      </c>
      <c r="K92">
        <v>0</v>
      </c>
      <c r="L92" t="s">
        <v>29</v>
      </c>
    </row>
    <row r="93" spans="1:12" ht="14" x14ac:dyDescent="0.15">
      <c r="A93" t="s">
        <v>460</v>
      </c>
      <c r="B93" t="s">
        <v>461</v>
      </c>
      <c r="C93">
        <v>2022</v>
      </c>
      <c r="D93" t="s">
        <v>25</v>
      </c>
      <c r="E93" t="s">
        <v>321</v>
      </c>
      <c r="F93" t="s">
        <v>75</v>
      </c>
      <c r="G93" t="s">
        <v>462</v>
      </c>
      <c r="H93" t="s">
        <v>463</v>
      </c>
      <c r="I93" t="s">
        <v>464</v>
      </c>
      <c r="J93">
        <v>0</v>
      </c>
      <c r="K93">
        <v>0</v>
      </c>
      <c r="L93" t="s">
        <v>29</v>
      </c>
    </row>
    <row r="94" spans="1:12" ht="14" x14ac:dyDescent="0.15">
      <c r="A94" t="s">
        <v>84</v>
      </c>
      <c r="B94" t="s">
        <v>85</v>
      </c>
      <c r="C94">
        <v>2020</v>
      </c>
      <c r="D94" t="s">
        <v>25</v>
      </c>
      <c r="E94" t="s">
        <v>16</v>
      </c>
      <c r="F94" t="s">
        <v>32</v>
      </c>
      <c r="G94" t="s">
        <v>86</v>
      </c>
      <c r="H94" t="s">
        <v>87</v>
      </c>
      <c r="I94" t="s">
        <v>88</v>
      </c>
      <c r="J94">
        <v>1</v>
      </c>
      <c r="K94">
        <v>0</v>
      </c>
      <c r="L94" t="s">
        <v>29</v>
      </c>
    </row>
    <row r="95" spans="1:12" ht="14" x14ac:dyDescent="0.15">
      <c r="A95" t="s">
        <v>735</v>
      </c>
      <c r="B95" t="s">
        <v>736</v>
      </c>
      <c r="C95">
        <v>2025</v>
      </c>
      <c r="D95" t="s">
        <v>737</v>
      </c>
      <c r="E95" t="s">
        <v>640</v>
      </c>
      <c r="F95" t="s">
        <v>75</v>
      </c>
      <c r="G95" t="s">
        <v>86</v>
      </c>
      <c r="H95" t="s">
        <v>738</v>
      </c>
      <c r="I95" t="s">
        <v>739</v>
      </c>
      <c r="J95">
        <v>0</v>
      </c>
      <c r="K95">
        <v>0</v>
      </c>
      <c r="L95" t="s">
        <v>29</v>
      </c>
    </row>
    <row r="96" spans="1:12" ht="14" x14ac:dyDescent="0.15">
      <c r="A96" t="s">
        <v>657</v>
      </c>
      <c r="B96" t="s">
        <v>658</v>
      </c>
      <c r="C96">
        <v>2026</v>
      </c>
      <c r="D96" t="s">
        <v>659</v>
      </c>
      <c r="E96" t="s">
        <v>640</v>
      </c>
      <c r="F96" t="s">
        <v>75</v>
      </c>
      <c r="G96" t="s">
        <v>660</v>
      </c>
      <c r="H96" t="s">
        <v>661</v>
      </c>
      <c r="I96" t="s">
        <v>662</v>
      </c>
      <c r="J96">
        <v>0</v>
      </c>
      <c r="K96">
        <v>0</v>
      </c>
      <c r="L96" t="s">
        <v>29</v>
      </c>
    </row>
    <row r="97" spans="1:12" ht="14" x14ac:dyDescent="0.15">
      <c r="A97" t="s">
        <v>60</v>
      </c>
      <c r="B97" t="s">
        <v>61</v>
      </c>
      <c r="C97">
        <v>2025</v>
      </c>
      <c r="D97" t="s">
        <v>25</v>
      </c>
      <c r="E97" t="s">
        <v>16</v>
      </c>
      <c r="F97" t="s">
        <v>32</v>
      </c>
      <c r="G97" t="s">
        <v>62</v>
      </c>
      <c r="H97" t="s">
        <v>63</v>
      </c>
      <c r="I97" t="s">
        <v>64</v>
      </c>
      <c r="J97">
        <v>1</v>
      </c>
      <c r="K97">
        <v>0</v>
      </c>
      <c r="L97" t="s">
        <v>29</v>
      </c>
    </row>
    <row r="98" spans="1:12" ht="14" x14ac:dyDescent="0.15">
      <c r="A98" t="s">
        <v>266</v>
      </c>
      <c r="B98" t="s">
        <v>267</v>
      </c>
      <c r="C98">
        <v>2025</v>
      </c>
      <c r="D98" t="s">
        <v>268</v>
      </c>
      <c r="E98" t="s">
        <v>237</v>
      </c>
      <c r="F98" t="s">
        <v>32</v>
      </c>
      <c r="G98" t="s">
        <v>62</v>
      </c>
      <c r="H98" t="s">
        <v>269</v>
      </c>
      <c r="I98" t="s">
        <v>270</v>
      </c>
      <c r="J98">
        <v>1</v>
      </c>
      <c r="K98">
        <v>0</v>
      </c>
      <c r="L98" t="s">
        <v>29</v>
      </c>
    </row>
    <row r="99" spans="1:12" ht="14" x14ac:dyDescent="0.15">
      <c r="A99" t="s">
        <v>1003</v>
      </c>
      <c r="B99" t="s">
        <v>1004</v>
      </c>
      <c r="C99">
        <v>2025</v>
      </c>
      <c r="D99" t="s">
        <v>549</v>
      </c>
      <c r="E99" t="s">
        <v>957</v>
      </c>
      <c r="F99" t="s">
        <v>32</v>
      </c>
      <c r="G99" t="s">
        <v>62</v>
      </c>
      <c r="H99" t="s">
        <v>1005</v>
      </c>
      <c r="I99" t="s">
        <v>1006</v>
      </c>
      <c r="J99">
        <v>1</v>
      </c>
      <c r="K99">
        <v>0</v>
      </c>
      <c r="L99" t="s">
        <v>29</v>
      </c>
    </row>
    <row r="100" spans="1:12" ht="14" x14ac:dyDescent="0.15">
      <c r="A100" t="s">
        <v>103</v>
      </c>
      <c r="B100" t="s">
        <v>104</v>
      </c>
      <c r="C100">
        <v>2026</v>
      </c>
      <c r="D100" t="s">
        <v>105</v>
      </c>
      <c r="E100" t="s">
        <v>91</v>
      </c>
      <c r="F100" t="s">
        <v>32</v>
      </c>
      <c r="H100" t="s">
        <v>106</v>
      </c>
      <c r="I100" t="s">
        <v>107</v>
      </c>
      <c r="J100">
        <v>0</v>
      </c>
      <c r="K100">
        <v>0</v>
      </c>
      <c r="L100" t="s">
        <v>19</v>
      </c>
    </row>
    <row r="101" spans="1:12" ht="14" x14ac:dyDescent="0.15">
      <c r="A101" t="s">
        <v>210</v>
      </c>
      <c r="B101" t="s">
        <v>211</v>
      </c>
      <c r="C101">
        <v>2021</v>
      </c>
      <c r="D101" t="s">
        <v>212</v>
      </c>
      <c r="E101" t="s">
        <v>155</v>
      </c>
      <c r="F101" t="s">
        <v>32</v>
      </c>
      <c r="H101" t="s">
        <v>213</v>
      </c>
      <c r="I101" t="s">
        <v>214</v>
      </c>
      <c r="J101">
        <v>0</v>
      </c>
      <c r="K101">
        <v>0</v>
      </c>
      <c r="L101" t="s">
        <v>19</v>
      </c>
    </row>
    <row r="102" spans="1:12" ht="14" x14ac:dyDescent="0.15">
      <c r="A102" t="s">
        <v>215</v>
      </c>
      <c r="B102" t="s">
        <v>216</v>
      </c>
      <c r="C102">
        <v>2020</v>
      </c>
      <c r="D102" t="s">
        <v>217</v>
      </c>
      <c r="E102" t="s">
        <v>155</v>
      </c>
      <c r="F102" t="s">
        <v>75</v>
      </c>
      <c r="H102" t="s">
        <v>218</v>
      </c>
      <c r="I102" t="s">
        <v>219</v>
      </c>
      <c r="J102">
        <v>0</v>
      </c>
      <c r="K102">
        <v>0</v>
      </c>
      <c r="L102" t="s">
        <v>19</v>
      </c>
    </row>
    <row r="103" spans="1:12" ht="14" x14ac:dyDescent="0.15">
      <c r="A103" t="s">
        <v>341</v>
      </c>
      <c r="B103" t="s">
        <v>342</v>
      </c>
      <c r="C103">
        <v>2025</v>
      </c>
      <c r="D103" t="s">
        <v>343</v>
      </c>
      <c r="E103" t="s">
        <v>321</v>
      </c>
      <c r="F103" t="s">
        <v>75</v>
      </c>
      <c r="H103" t="s">
        <v>344</v>
      </c>
      <c r="I103" t="s">
        <v>345</v>
      </c>
      <c r="J103">
        <v>0</v>
      </c>
      <c r="K103">
        <v>0</v>
      </c>
      <c r="L103" t="s">
        <v>19</v>
      </c>
    </row>
    <row r="104" spans="1:12" ht="14" x14ac:dyDescent="0.15">
      <c r="A104" t="s">
        <v>940</v>
      </c>
      <c r="B104" t="s">
        <v>941</v>
      </c>
      <c r="C104">
        <v>2023</v>
      </c>
      <c r="D104" t="s">
        <v>942</v>
      </c>
      <c r="E104" t="s">
        <v>640</v>
      </c>
      <c r="F104" t="s">
        <v>32</v>
      </c>
      <c r="H104" t="s">
        <v>943</v>
      </c>
      <c r="I104" t="s">
        <v>944</v>
      </c>
      <c r="J104">
        <v>0</v>
      </c>
      <c r="K104">
        <v>0</v>
      </c>
      <c r="L104" t="s">
        <v>19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38555-F4FC-FD42-A389-E1D052CD5FE8}">
  <dimension ref="A1:AA94"/>
  <sheetViews>
    <sheetView topLeftCell="F1" workbookViewId="0">
      <selection activeCell="K1" sqref="A1:K1048576"/>
    </sheetView>
  </sheetViews>
  <sheetFormatPr baseColWidth="10" defaultRowHeight="13" x14ac:dyDescent="0.15"/>
  <cols>
    <col min="1" max="1" width="158.5" bestFit="1" customWidth="1"/>
    <col min="2" max="2" width="121.6640625" bestFit="1" customWidth="1"/>
    <col min="4" max="4" width="77.6640625" customWidth="1"/>
    <col min="5" max="5" width="33.6640625" customWidth="1"/>
    <col min="6" max="6" width="39.6640625" customWidth="1"/>
    <col min="8" max="8" width="34.1640625" customWidth="1"/>
    <col min="9" max="9" width="10.83203125" style="29"/>
    <col min="14" max="14" width="23.33203125" customWidth="1"/>
    <col min="15" max="15" width="22.33203125" customWidth="1"/>
    <col min="16" max="16" width="39.5" customWidth="1"/>
    <col min="17" max="17" width="39.6640625" customWidth="1"/>
    <col min="19" max="19" width="9.6640625" bestFit="1" customWidth="1"/>
    <col min="20" max="20" width="7.83203125" bestFit="1" customWidth="1"/>
    <col min="21" max="21" width="9.83203125" bestFit="1" customWidth="1"/>
    <col min="22" max="22" width="5.1640625" bestFit="1" customWidth="1"/>
    <col min="23" max="23" width="9" bestFit="1" customWidth="1"/>
    <col min="24" max="24" width="8.1640625" bestFit="1" customWidth="1"/>
    <col min="25" max="25" width="9.5" bestFit="1" customWidth="1"/>
    <col min="26" max="26" width="9.6640625" bestFit="1" customWidth="1"/>
  </cols>
  <sheetData>
    <row r="1" spans="1:27" ht="42" x14ac:dyDescent="0.1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s="28" t="s">
        <v>1398</v>
      </c>
      <c r="J1" s="24" t="s">
        <v>1399</v>
      </c>
      <c r="K1" s="24" t="s">
        <v>1400</v>
      </c>
      <c r="N1" s="24" t="s">
        <v>1393</v>
      </c>
      <c r="O1" s="24" t="s">
        <v>1394</v>
      </c>
      <c r="P1" s="24" t="s">
        <v>1395</v>
      </c>
      <c r="Q1" s="24" t="s">
        <v>1396</v>
      </c>
      <c r="R1" s="24" t="s">
        <v>1397</v>
      </c>
      <c r="S1" s="24" t="s">
        <v>1398</v>
      </c>
      <c r="T1" s="24" t="s">
        <v>1399</v>
      </c>
      <c r="U1" s="24" t="s">
        <v>1400</v>
      </c>
      <c r="V1" s="24" t="s">
        <v>1401</v>
      </c>
      <c r="W1" s="24" t="s">
        <v>1402</v>
      </c>
      <c r="X1" s="24" t="s">
        <v>1403</v>
      </c>
      <c r="Y1" s="24" t="s">
        <v>1404</v>
      </c>
      <c r="Z1" s="24" t="s">
        <v>1405</v>
      </c>
      <c r="AA1" s="24" t="s">
        <v>1498</v>
      </c>
    </row>
    <row r="2" spans="1:27" ht="70" x14ac:dyDescent="0.15">
      <c r="A2" t="s">
        <v>460</v>
      </c>
      <c r="B2" t="s">
        <v>461</v>
      </c>
      <c r="C2">
        <v>2022</v>
      </c>
      <c r="D2" t="s">
        <v>25</v>
      </c>
      <c r="E2" t="s">
        <v>321</v>
      </c>
      <c r="F2" t="s">
        <v>75</v>
      </c>
      <c r="G2">
        <v>1060</v>
      </c>
      <c r="H2" t="s">
        <v>463</v>
      </c>
      <c r="I2" s="29">
        <f>VLOOKUP($D2,P:U,4,FALSE)</f>
        <v>0.9</v>
      </c>
      <c r="J2" s="29" t="str">
        <f>VLOOKUP($D2,P:U,5,FALSE)</f>
        <v>Q1</v>
      </c>
      <c r="K2" s="29" t="str">
        <f>VLOOKUP($D2,P:U,6,FALSE)</f>
        <v>2169-3536</v>
      </c>
      <c r="N2" s="24" t="s">
        <v>1406</v>
      </c>
      <c r="O2" s="25" t="s">
        <v>1407</v>
      </c>
      <c r="P2" s="25" t="s">
        <v>831</v>
      </c>
      <c r="Q2" s="25" t="s">
        <v>833</v>
      </c>
      <c r="R2" s="25" t="s">
        <v>1408</v>
      </c>
      <c r="S2" s="26">
        <v>0.77</v>
      </c>
      <c r="T2" s="25" t="s">
        <v>1409</v>
      </c>
      <c r="U2" s="25" t="s">
        <v>1410</v>
      </c>
      <c r="V2" s="25">
        <v>2025</v>
      </c>
      <c r="W2" s="25">
        <v>19</v>
      </c>
      <c r="X2" s="25">
        <v>21</v>
      </c>
      <c r="Y2" s="25" t="s">
        <v>1411</v>
      </c>
      <c r="Z2" s="27">
        <v>46230</v>
      </c>
      <c r="AA2">
        <f>VLOOKUP(Q2,$H$1:$I$94,2,FALSE)</f>
        <v>0.77</v>
      </c>
    </row>
    <row r="3" spans="1:27" ht="42" x14ac:dyDescent="0.15">
      <c r="A3" t="s">
        <v>495</v>
      </c>
      <c r="B3" t="s">
        <v>496</v>
      </c>
      <c r="C3">
        <v>2021</v>
      </c>
      <c r="D3" t="s">
        <v>25</v>
      </c>
      <c r="E3" t="s">
        <v>321</v>
      </c>
      <c r="F3" t="s">
        <v>17</v>
      </c>
      <c r="G3">
        <v>576</v>
      </c>
      <c r="H3" t="s">
        <v>498</v>
      </c>
      <c r="I3" s="29">
        <f t="shared" ref="I3:I66" si="0">VLOOKUP($D3,P:U,4,FALSE)</f>
        <v>0.9</v>
      </c>
      <c r="J3" s="29" t="str">
        <f t="shared" ref="J3:J66" si="1">VLOOKUP($D3,P:U,5,FALSE)</f>
        <v>Q1</v>
      </c>
      <c r="K3" s="29" t="str">
        <f t="shared" ref="K3:K66" si="2">VLOOKUP($D3,P:U,6,FALSE)</f>
        <v>2169-3536</v>
      </c>
      <c r="N3" s="24" t="s">
        <v>1412</v>
      </c>
      <c r="O3" s="25" t="s">
        <v>853</v>
      </c>
      <c r="P3" s="25" t="s">
        <v>855</v>
      </c>
      <c r="Q3" s="25" t="s">
        <v>857</v>
      </c>
      <c r="R3" s="25" t="s">
        <v>1413</v>
      </c>
      <c r="S3" s="26">
        <v>0.88</v>
      </c>
      <c r="T3" s="25" t="s">
        <v>1409</v>
      </c>
      <c r="U3" s="25" t="s">
        <v>1414</v>
      </c>
      <c r="V3" s="25">
        <v>2025</v>
      </c>
      <c r="W3" s="25">
        <v>180</v>
      </c>
      <c r="X3" s="25">
        <v>190</v>
      </c>
      <c r="Y3" s="25">
        <v>175</v>
      </c>
      <c r="Z3" s="27">
        <v>46230</v>
      </c>
      <c r="AA3">
        <f t="shared" ref="AA3:AA40" si="3">VLOOKUP(Q3,$H$1:$I$94,2,FALSE)</f>
        <v>0.88</v>
      </c>
    </row>
    <row r="4" spans="1:27" ht="42" x14ac:dyDescent="0.15">
      <c r="A4" t="s">
        <v>848</v>
      </c>
      <c r="B4" t="s">
        <v>849</v>
      </c>
      <c r="C4">
        <v>2025</v>
      </c>
      <c r="D4" t="s">
        <v>25</v>
      </c>
      <c r="E4" t="s">
        <v>640</v>
      </c>
      <c r="F4" t="s">
        <v>32</v>
      </c>
      <c r="G4">
        <v>562</v>
      </c>
      <c r="H4" t="s">
        <v>851</v>
      </c>
      <c r="I4" s="29">
        <f t="shared" si="0"/>
        <v>0.9</v>
      </c>
      <c r="J4" s="29" t="str">
        <f t="shared" si="1"/>
        <v>Q1</v>
      </c>
      <c r="K4" s="29" t="str">
        <f t="shared" si="2"/>
        <v>2169-3536</v>
      </c>
      <c r="N4" s="24" t="s">
        <v>1415</v>
      </c>
      <c r="O4" s="25" t="s">
        <v>1416</v>
      </c>
      <c r="P4" s="25" t="s">
        <v>1192</v>
      </c>
      <c r="Q4" s="25" t="s">
        <v>1194</v>
      </c>
      <c r="R4" s="25" t="s">
        <v>1408</v>
      </c>
      <c r="S4" s="26">
        <v>0.78</v>
      </c>
      <c r="T4" s="25" t="s">
        <v>1417</v>
      </c>
      <c r="U4" s="25" t="s">
        <v>1418</v>
      </c>
      <c r="V4" s="25">
        <v>2025</v>
      </c>
      <c r="W4" s="25">
        <v>38</v>
      </c>
      <c r="X4" s="25">
        <v>45</v>
      </c>
      <c r="Y4" s="25">
        <v>39</v>
      </c>
      <c r="Z4" s="27">
        <v>46230</v>
      </c>
      <c r="AA4">
        <f t="shared" si="3"/>
        <v>0.78</v>
      </c>
    </row>
    <row r="5" spans="1:27" ht="42" x14ac:dyDescent="0.15">
      <c r="A5" t="s">
        <v>381</v>
      </c>
      <c r="B5" t="s">
        <v>382</v>
      </c>
      <c r="C5">
        <v>2024</v>
      </c>
      <c r="D5" t="s">
        <v>383</v>
      </c>
      <c r="E5" t="s">
        <v>321</v>
      </c>
      <c r="F5" t="s">
        <v>17</v>
      </c>
      <c r="G5">
        <v>506</v>
      </c>
      <c r="H5" t="s">
        <v>385</v>
      </c>
      <c r="I5" s="29">
        <f t="shared" si="0"/>
        <v>0.99</v>
      </c>
      <c r="J5" s="29" t="str">
        <f t="shared" si="1"/>
        <v>Q1</v>
      </c>
      <c r="K5" s="29" t="str">
        <f t="shared" si="2"/>
        <v>0360-0300</v>
      </c>
      <c r="N5" s="24" t="s">
        <v>1419</v>
      </c>
      <c r="O5" s="25" t="s">
        <v>1420</v>
      </c>
      <c r="P5" s="25" t="s">
        <v>1421</v>
      </c>
      <c r="Q5" s="25" t="s">
        <v>58</v>
      </c>
      <c r="R5" s="25" t="s">
        <v>1408</v>
      </c>
      <c r="S5" s="26">
        <v>0.82</v>
      </c>
      <c r="T5" s="25" t="s">
        <v>1409</v>
      </c>
      <c r="U5" s="25" t="s">
        <v>1422</v>
      </c>
      <c r="V5" s="25">
        <v>2024</v>
      </c>
      <c r="W5" s="25">
        <v>144</v>
      </c>
      <c r="X5" s="25">
        <v>173</v>
      </c>
      <c r="Y5" s="25">
        <v>134</v>
      </c>
      <c r="Z5" s="27">
        <v>46230</v>
      </c>
      <c r="AA5">
        <f t="shared" si="3"/>
        <v>0.82</v>
      </c>
    </row>
    <row r="6" spans="1:27" ht="42" x14ac:dyDescent="0.15">
      <c r="A6" t="s">
        <v>1242</v>
      </c>
      <c r="B6" t="s">
        <v>1243</v>
      </c>
      <c r="C6">
        <v>2021</v>
      </c>
      <c r="D6" t="s">
        <v>25</v>
      </c>
      <c r="E6" t="s">
        <v>1053</v>
      </c>
      <c r="F6" t="s">
        <v>75</v>
      </c>
      <c r="G6">
        <v>456</v>
      </c>
      <c r="H6" t="s">
        <v>1245</v>
      </c>
      <c r="I6" s="29">
        <f t="shared" si="0"/>
        <v>0.9</v>
      </c>
      <c r="J6" s="29" t="str">
        <f t="shared" si="1"/>
        <v>Q1</v>
      </c>
      <c r="K6" s="29" t="str">
        <f t="shared" si="2"/>
        <v>2169-3536</v>
      </c>
      <c r="N6" s="24" t="s">
        <v>1423</v>
      </c>
      <c r="O6" s="25" t="s">
        <v>1327</v>
      </c>
      <c r="P6" s="25" t="s">
        <v>383</v>
      </c>
      <c r="Q6" s="25" t="s">
        <v>1329</v>
      </c>
      <c r="R6" s="25" t="s">
        <v>1413</v>
      </c>
      <c r="S6" s="26">
        <v>0.99</v>
      </c>
      <c r="T6" s="25" t="s">
        <v>1409</v>
      </c>
      <c r="U6" s="25" t="s">
        <v>1424</v>
      </c>
      <c r="V6" s="25">
        <v>2025</v>
      </c>
      <c r="W6" s="25">
        <v>19</v>
      </c>
      <c r="X6" s="25">
        <v>28</v>
      </c>
      <c r="Y6" s="25">
        <v>24</v>
      </c>
      <c r="Z6" s="27">
        <v>46230</v>
      </c>
      <c r="AA6" t="e">
        <f t="shared" si="3"/>
        <v>#N/A</v>
      </c>
    </row>
    <row r="7" spans="1:27" ht="56" x14ac:dyDescent="0.15">
      <c r="A7" t="s">
        <v>226</v>
      </c>
      <c r="B7" t="s">
        <v>227</v>
      </c>
      <c r="C7">
        <v>2020</v>
      </c>
      <c r="D7" t="s">
        <v>228</v>
      </c>
      <c r="E7" t="s">
        <v>155</v>
      </c>
      <c r="F7" t="s">
        <v>32</v>
      </c>
      <c r="G7">
        <v>401</v>
      </c>
      <c r="H7" t="s">
        <v>230</v>
      </c>
      <c r="I7" s="29" t="e">
        <f t="shared" si="0"/>
        <v>#N/A</v>
      </c>
      <c r="J7" s="29" t="e">
        <f t="shared" si="1"/>
        <v>#N/A</v>
      </c>
      <c r="K7" s="29" t="e">
        <f t="shared" si="2"/>
        <v>#N/A</v>
      </c>
      <c r="N7" s="24" t="s">
        <v>1425</v>
      </c>
      <c r="O7" s="25" t="s">
        <v>843</v>
      </c>
      <c r="P7" s="25" t="s">
        <v>25</v>
      </c>
      <c r="Q7" s="25" t="s">
        <v>846</v>
      </c>
      <c r="R7" s="25" t="s">
        <v>1413</v>
      </c>
      <c r="S7" s="26">
        <v>0.9</v>
      </c>
      <c r="T7" s="25" t="s">
        <v>1409</v>
      </c>
      <c r="U7" s="25" t="s">
        <v>1426</v>
      </c>
      <c r="V7" s="25">
        <v>2025</v>
      </c>
      <c r="W7" s="25">
        <v>48</v>
      </c>
      <c r="X7" s="25">
        <v>57</v>
      </c>
      <c r="Y7" s="25">
        <v>44</v>
      </c>
      <c r="Z7" s="27">
        <v>46230</v>
      </c>
      <c r="AA7">
        <f t="shared" si="3"/>
        <v>0.9</v>
      </c>
    </row>
    <row r="8" spans="1:27" ht="56" x14ac:dyDescent="0.15">
      <c r="A8" t="s">
        <v>358</v>
      </c>
      <c r="B8" t="s">
        <v>359</v>
      </c>
      <c r="C8">
        <v>2024</v>
      </c>
      <c r="D8" t="s">
        <v>126</v>
      </c>
      <c r="E8" t="s">
        <v>321</v>
      </c>
      <c r="F8" t="s">
        <v>17</v>
      </c>
      <c r="G8">
        <v>396</v>
      </c>
      <c r="H8" t="s">
        <v>361</v>
      </c>
      <c r="I8" s="29" t="e">
        <f t="shared" si="0"/>
        <v>#N/A</v>
      </c>
      <c r="J8" s="29" t="e">
        <f t="shared" si="1"/>
        <v>#N/A</v>
      </c>
      <c r="K8" s="29" t="e">
        <f t="shared" si="2"/>
        <v>#N/A</v>
      </c>
      <c r="N8" s="24" t="s">
        <v>1427</v>
      </c>
      <c r="O8" s="25" t="s">
        <v>84</v>
      </c>
      <c r="P8" s="25" t="s">
        <v>25</v>
      </c>
      <c r="Q8" s="25" t="s">
        <v>87</v>
      </c>
      <c r="R8" s="25" t="s">
        <v>1413</v>
      </c>
      <c r="S8" s="26">
        <v>0.9</v>
      </c>
      <c r="T8" s="25" t="s">
        <v>1409</v>
      </c>
      <c r="U8" s="25" t="s">
        <v>1426</v>
      </c>
      <c r="V8" s="25">
        <v>2020</v>
      </c>
      <c r="W8" s="25">
        <v>10</v>
      </c>
      <c r="X8" s="25">
        <v>9</v>
      </c>
      <c r="Y8" s="25">
        <v>8</v>
      </c>
      <c r="Z8" s="27">
        <v>46230</v>
      </c>
      <c r="AA8">
        <f t="shared" si="3"/>
        <v>0.9</v>
      </c>
    </row>
    <row r="9" spans="1:27" ht="56" x14ac:dyDescent="0.15">
      <c r="A9" t="s">
        <v>375</v>
      </c>
      <c r="B9" t="s">
        <v>376</v>
      </c>
      <c r="C9">
        <v>2024</v>
      </c>
      <c r="D9" t="s">
        <v>377</v>
      </c>
      <c r="E9" t="s">
        <v>321</v>
      </c>
      <c r="F9" t="s">
        <v>17</v>
      </c>
      <c r="G9">
        <v>389</v>
      </c>
      <c r="H9" t="s">
        <v>379</v>
      </c>
      <c r="I9" s="29" t="e">
        <f t="shared" si="0"/>
        <v>#N/A</v>
      </c>
      <c r="J9" s="29" t="e">
        <f t="shared" si="1"/>
        <v>#N/A</v>
      </c>
      <c r="K9" s="29" t="e">
        <f t="shared" si="2"/>
        <v>#N/A</v>
      </c>
      <c r="N9" s="24" t="s">
        <v>1428</v>
      </c>
      <c r="O9" s="25" t="s">
        <v>610</v>
      </c>
      <c r="P9" s="25" t="s">
        <v>25</v>
      </c>
      <c r="Q9" s="25" t="s">
        <v>613</v>
      </c>
      <c r="R9" s="25" t="s">
        <v>1413</v>
      </c>
      <c r="S9" s="26">
        <v>0.9</v>
      </c>
      <c r="T9" s="25" t="s">
        <v>1409</v>
      </c>
      <c r="U9" s="25" t="s">
        <v>1426</v>
      </c>
      <c r="V9" s="25">
        <v>2024</v>
      </c>
      <c r="W9" s="25">
        <v>135</v>
      </c>
      <c r="X9" s="25">
        <v>134</v>
      </c>
      <c r="Y9" s="25">
        <v>141</v>
      </c>
      <c r="Z9" s="27">
        <v>46230</v>
      </c>
      <c r="AA9">
        <f t="shared" si="3"/>
        <v>0.9</v>
      </c>
    </row>
    <row r="10" spans="1:27" ht="42" x14ac:dyDescent="0.15">
      <c r="A10" t="s">
        <v>525</v>
      </c>
      <c r="B10" t="s">
        <v>526</v>
      </c>
      <c r="C10">
        <v>2020</v>
      </c>
      <c r="D10" t="s">
        <v>25</v>
      </c>
      <c r="E10" t="s">
        <v>321</v>
      </c>
      <c r="F10" t="s">
        <v>75</v>
      </c>
      <c r="G10">
        <v>321</v>
      </c>
      <c r="H10" t="s">
        <v>528</v>
      </c>
      <c r="I10" s="29">
        <f t="shared" si="0"/>
        <v>0.9</v>
      </c>
      <c r="J10" s="29" t="str">
        <f t="shared" si="1"/>
        <v>Q1</v>
      </c>
      <c r="K10" s="29" t="str">
        <f t="shared" si="2"/>
        <v>2169-3536</v>
      </c>
      <c r="N10" s="24" t="s">
        <v>1429</v>
      </c>
      <c r="O10" s="25" t="s">
        <v>37</v>
      </c>
      <c r="P10" s="25" t="s">
        <v>39</v>
      </c>
      <c r="Q10" s="25" t="s">
        <v>41</v>
      </c>
      <c r="R10" s="25" t="s">
        <v>1413</v>
      </c>
      <c r="S10" s="26">
        <v>0.99</v>
      </c>
      <c r="T10" s="25" t="s">
        <v>1409</v>
      </c>
      <c r="U10" s="25" t="s">
        <v>1430</v>
      </c>
      <c r="V10" s="25">
        <v>2025</v>
      </c>
      <c r="W10" s="25">
        <v>132</v>
      </c>
      <c r="X10" s="25">
        <v>149</v>
      </c>
      <c r="Y10" s="25">
        <v>136</v>
      </c>
      <c r="Z10" s="27">
        <v>46230</v>
      </c>
      <c r="AA10">
        <f t="shared" si="3"/>
        <v>0.99</v>
      </c>
    </row>
    <row r="11" spans="1:27" ht="56" x14ac:dyDescent="0.15">
      <c r="A11" t="s">
        <v>615</v>
      </c>
      <c r="B11" t="s">
        <v>616</v>
      </c>
      <c r="C11">
        <v>2023</v>
      </c>
      <c r="D11" t="s">
        <v>25</v>
      </c>
      <c r="E11" t="s">
        <v>599</v>
      </c>
      <c r="F11" t="s">
        <v>32</v>
      </c>
      <c r="G11">
        <v>316</v>
      </c>
      <c r="H11" t="s">
        <v>618</v>
      </c>
      <c r="I11" s="29">
        <f t="shared" si="0"/>
        <v>0.9</v>
      </c>
      <c r="J11" s="29" t="str">
        <f t="shared" si="1"/>
        <v>Q1</v>
      </c>
      <c r="K11" s="29" t="str">
        <f t="shared" si="2"/>
        <v>2169-3536</v>
      </c>
      <c r="N11" s="24" t="s">
        <v>1431</v>
      </c>
      <c r="O11" s="25" t="s">
        <v>1432</v>
      </c>
      <c r="P11" s="25" t="s">
        <v>25</v>
      </c>
      <c r="Q11" s="25" t="s">
        <v>851</v>
      </c>
      <c r="R11" s="25" t="s">
        <v>1413</v>
      </c>
      <c r="S11" s="26">
        <v>0.9</v>
      </c>
      <c r="T11" s="25" t="s">
        <v>1409</v>
      </c>
      <c r="U11" s="25" t="s">
        <v>1426</v>
      </c>
      <c r="V11" s="25">
        <v>2025</v>
      </c>
      <c r="W11" s="25">
        <v>487</v>
      </c>
      <c r="X11" s="25">
        <v>534</v>
      </c>
      <c r="Y11" s="25">
        <v>509</v>
      </c>
      <c r="Z11" s="27">
        <v>46230</v>
      </c>
      <c r="AA11">
        <f t="shared" si="3"/>
        <v>0.9</v>
      </c>
    </row>
    <row r="12" spans="1:27" ht="70" x14ac:dyDescent="0.15">
      <c r="A12" t="s">
        <v>536</v>
      </c>
      <c r="B12" t="s">
        <v>537</v>
      </c>
      <c r="C12">
        <v>2020</v>
      </c>
      <c r="D12" t="s">
        <v>538</v>
      </c>
      <c r="E12" t="s">
        <v>321</v>
      </c>
      <c r="F12" t="s">
        <v>75</v>
      </c>
      <c r="G12">
        <v>315</v>
      </c>
      <c r="H12" t="s">
        <v>540</v>
      </c>
      <c r="I12" s="29" t="e">
        <f t="shared" si="0"/>
        <v>#N/A</v>
      </c>
      <c r="J12" s="29" t="e">
        <f t="shared" si="1"/>
        <v>#N/A</v>
      </c>
      <c r="K12" s="29" t="e">
        <f t="shared" si="2"/>
        <v>#N/A</v>
      </c>
      <c r="N12" s="24" t="s">
        <v>1433</v>
      </c>
      <c r="O12" s="25" t="s">
        <v>68</v>
      </c>
      <c r="P12" s="25" t="s">
        <v>25</v>
      </c>
      <c r="Q12" s="25" t="s">
        <v>71</v>
      </c>
      <c r="R12" s="25" t="s">
        <v>1413</v>
      </c>
      <c r="S12" s="26">
        <v>0.9</v>
      </c>
      <c r="T12" s="25" t="s">
        <v>1409</v>
      </c>
      <c r="U12" s="25" t="s">
        <v>1426</v>
      </c>
      <c r="V12" s="25">
        <v>2024</v>
      </c>
      <c r="W12" s="25">
        <v>9</v>
      </c>
      <c r="X12" s="25">
        <v>9</v>
      </c>
      <c r="Y12" s="25">
        <v>10</v>
      </c>
      <c r="Z12" s="27">
        <v>46230</v>
      </c>
      <c r="AA12">
        <f t="shared" si="3"/>
        <v>0.9</v>
      </c>
    </row>
    <row r="13" spans="1:27" ht="42" x14ac:dyDescent="0.15">
      <c r="A13" t="s">
        <v>542</v>
      </c>
      <c r="B13" t="s">
        <v>543</v>
      </c>
      <c r="C13">
        <v>2020</v>
      </c>
      <c r="D13" t="s">
        <v>25</v>
      </c>
      <c r="E13" t="s">
        <v>321</v>
      </c>
      <c r="F13" t="s">
        <v>75</v>
      </c>
      <c r="G13">
        <v>278</v>
      </c>
      <c r="H13" t="s">
        <v>545</v>
      </c>
      <c r="I13" s="29">
        <f t="shared" si="0"/>
        <v>0.9</v>
      </c>
      <c r="J13" s="29" t="str">
        <f t="shared" si="1"/>
        <v>Q1</v>
      </c>
      <c r="K13" s="29" t="str">
        <f t="shared" si="2"/>
        <v>2169-3536</v>
      </c>
      <c r="N13" s="24" t="s">
        <v>1434</v>
      </c>
      <c r="O13" s="25" t="s">
        <v>1435</v>
      </c>
      <c r="P13" s="25" t="s">
        <v>25</v>
      </c>
      <c r="Q13" s="25" t="s">
        <v>1225</v>
      </c>
      <c r="R13" s="25" t="s">
        <v>1413</v>
      </c>
      <c r="S13" s="26">
        <v>0.9</v>
      </c>
      <c r="T13" s="25" t="s">
        <v>1409</v>
      </c>
      <c r="U13" s="25" t="s">
        <v>1426</v>
      </c>
      <c r="V13" s="25">
        <v>2024</v>
      </c>
      <c r="W13" s="25">
        <v>86</v>
      </c>
      <c r="X13" s="25">
        <v>93</v>
      </c>
      <c r="Y13" s="25">
        <v>101</v>
      </c>
      <c r="Z13" s="27">
        <v>46230</v>
      </c>
      <c r="AA13">
        <f t="shared" si="3"/>
        <v>0.9</v>
      </c>
    </row>
    <row r="14" spans="1:27" ht="56" x14ac:dyDescent="0.15">
      <c r="A14" t="s">
        <v>418</v>
      </c>
      <c r="B14" t="s">
        <v>419</v>
      </c>
      <c r="C14">
        <v>2023</v>
      </c>
      <c r="D14" t="s">
        <v>420</v>
      </c>
      <c r="E14" t="s">
        <v>321</v>
      </c>
      <c r="F14" t="s">
        <v>17</v>
      </c>
      <c r="G14">
        <v>264</v>
      </c>
      <c r="H14" t="s">
        <v>422</v>
      </c>
      <c r="I14" s="29" t="e">
        <f t="shared" si="0"/>
        <v>#N/A</v>
      </c>
      <c r="J14" s="29" t="e">
        <f t="shared" si="1"/>
        <v>#N/A</v>
      </c>
      <c r="K14" s="29" t="e">
        <f t="shared" si="2"/>
        <v>#N/A</v>
      </c>
      <c r="N14" s="24" t="s">
        <v>1436</v>
      </c>
      <c r="O14" s="25" t="s">
        <v>1437</v>
      </c>
      <c r="P14" s="25" t="s">
        <v>25</v>
      </c>
      <c r="Q14" s="25" t="s">
        <v>274</v>
      </c>
      <c r="R14" s="25" t="s">
        <v>1413</v>
      </c>
      <c r="S14" s="26">
        <v>0.9</v>
      </c>
      <c r="T14" s="25" t="s">
        <v>1409</v>
      </c>
      <c r="U14" s="25" t="s">
        <v>1426</v>
      </c>
      <c r="V14" s="25">
        <v>2025</v>
      </c>
      <c r="W14" s="25">
        <v>29</v>
      </c>
      <c r="X14" s="25">
        <v>33</v>
      </c>
      <c r="Y14" s="25">
        <v>31</v>
      </c>
      <c r="Z14" s="27">
        <v>46230</v>
      </c>
      <c r="AA14">
        <f t="shared" si="3"/>
        <v>0.9</v>
      </c>
    </row>
    <row r="15" spans="1:27" ht="56" x14ac:dyDescent="0.15">
      <c r="A15" t="s">
        <v>449</v>
      </c>
      <c r="B15" t="s">
        <v>450</v>
      </c>
      <c r="C15">
        <v>2022</v>
      </c>
      <c r="D15" t="s">
        <v>25</v>
      </c>
      <c r="E15" t="s">
        <v>321</v>
      </c>
      <c r="F15" t="s">
        <v>75</v>
      </c>
      <c r="G15">
        <v>263</v>
      </c>
      <c r="H15" t="s">
        <v>452</v>
      </c>
      <c r="I15" s="29">
        <f t="shared" si="0"/>
        <v>0.9</v>
      </c>
      <c r="J15" s="29" t="str">
        <f t="shared" si="1"/>
        <v>Q1</v>
      </c>
      <c r="K15" s="29" t="str">
        <f t="shared" si="2"/>
        <v>2169-3536</v>
      </c>
      <c r="N15" s="24" t="s">
        <v>1438</v>
      </c>
      <c r="O15" s="25" t="s">
        <v>1439</v>
      </c>
      <c r="P15" s="25" t="s">
        <v>1178</v>
      </c>
      <c r="Q15" s="25" t="s">
        <v>1180</v>
      </c>
      <c r="R15" s="25" t="s">
        <v>1413</v>
      </c>
      <c r="S15" s="26">
        <v>0.97</v>
      </c>
      <c r="T15" s="25" t="s">
        <v>1409</v>
      </c>
      <c r="U15" s="25" t="s">
        <v>1440</v>
      </c>
      <c r="V15" s="25">
        <v>2025</v>
      </c>
      <c r="W15" s="25">
        <v>45</v>
      </c>
      <c r="X15" s="25">
        <v>48</v>
      </c>
      <c r="Y15" s="25">
        <v>42</v>
      </c>
      <c r="Z15" s="27">
        <v>46230</v>
      </c>
      <c r="AA15">
        <f t="shared" si="3"/>
        <v>0.97</v>
      </c>
    </row>
    <row r="16" spans="1:27" ht="56" x14ac:dyDescent="0.15">
      <c r="A16" t="s">
        <v>465</v>
      </c>
      <c r="B16" t="s">
        <v>466</v>
      </c>
      <c r="C16">
        <v>2022</v>
      </c>
      <c r="D16" t="s">
        <v>467</v>
      </c>
      <c r="E16" t="s">
        <v>321</v>
      </c>
      <c r="F16" t="s">
        <v>75</v>
      </c>
      <c r="G16">
        <v>247</v>
      </c>
      <c r="H16" t="s">
        <v>469</v>
      </c>
      <c r="I16" s="29" t="e">
        <f t="shared" si="0"/>
        <v>#N/A</v>
      </c>
      <c r="J16" s="29" t="e">
        <f t="shared" si="1"/>
        <v>#N/A</v>
      </c>
      <c r="K16" s="29" t="e">
        <f t="shared" si="2"/>
        <v>#N/A</v>
      </c>
      <c r="N16" s="24" t="s">
        <v>1441</v>
      </c>
      <c r="O16" s="25" t="s">
        <v>1442</v>
      </c>
      <c r="P16" s="25" t="s">
        <v>1198</v>
      </c>
      <c r="Q16" s="25" t="s">
        <v>1200</v>
      </c>
      <c r="R16" s="25" t="s">
        <v>1408</v>
      </c>
      <c r="S16" s="26">
        <v>0.84</v>
      </c>
      <c r="T16" s="25" t="s">
        <v>1409</v>
      </c>
      <c r="U16" s="25" t="s">
        <v>1443</v>
      </c>
      <c r="V16" s="25">
        <v>2025</v>
      </c>
      <c r="W16" s="25">
        <v>101</v>
      </c>
      <c r="X16" s="25">
        <v>114</v>
      </c>
      <c r="Y16" s="25">
        <v>87</v>
      </c>
      <c r="Z16" s="27">
        <v>46230</v>
      </c>
      <c r="AA16">
        <f t="shared" si="3"/>
        <v>0.84</v>
      </c>
    </row>
    <row r="17" spans="1:27" ht="56" x14ac:dyDescent="0.15">
      <c r="A17" t="s">
        <v>625</v>
      </c>
      <c r="B17" t="s">
        <v>626</v>
      </c>
      <c r="C17">
        <v>2020</v>
      </c>
      <c r="D17" t="s">
        <v>559</v>
      </c>
      <c r="E17" t="s">
        <v>599</v>
      </c>
      <c r="F17" t="s">
        <v>17</v>
      </c>
      <c r="G17">
        <v>245</v>
      </c>
      <c r="H17" t="s">
        <v>628</v>
      </c>
      <c r="I17" s="29" t="e">
        <f t="shared" si="0"/>
        <v>#N/A</v>
      </c>
      <c r="J17" s="29" t="e">
        <f t="shared" si="1"/>
        <v>#N/A</v>
      </c>
      <c r="K17" s="29" t="e">
        <f t="shared" si="2"/>
        <v>#N/A</v>
      </c>
      <c r="N17" s="24" t="s">
        <v>1444</v>
      </c>
      <c r="O17" s="25" t="s">
        <v>1445</v>
      </c>
      <c r="P17" s="25" t="s">
        <v>383</v>
      </c>
      <c r="Q17" s="25" t="s">
        <v>1446</v>
      </c>
      <c r="R17" s="25" t="s">
        <v>1413</v>
      </c>
      <c r="S17" s="26">
        <v>0.99</v>
      </c>
      <c r="T17" s="25" t="s">
        <v>1409</v>
      </c>
      <c r="U17" s="25" t="s">
        <v>1424</v>
      </c>
      <c r="V17" s="25">
        <v>2023</v>
      </c>
      <c r="W17" s="25">
        <v>63</v>
      </c>
      <c r="X17" s="25">
        <v>68</v>
      </c>
      <c r="Y17" s="25">
        <v>72</v>
      </c>
      <c r="Z17" s="27">
        <v>46230</v>
      </c>
      <c r="AA17" t="e">
        <f t="shared" si="3"/>
        <v>#N/A</v>
      </c>
    </row>
    <row r="18" spans="1:27" ht="42" x14ac:dyDescent="0.15">
      <c r="A18" t="s">
        <v>297</v>
      </c>
      <c r="B18" t="s">
        <v>298</v>
      </c>
      <c r="C18">
        <v>2021</v>
      </c>
      <c r="D18" t="s">
        <v>299</v>
      </c>
      <c r="E18" t="s">
        <v>237</v>
      </c>
      <c r="F18" t="s">
        <v>32</v>
      </c>
      <c r="G18">
        <v>233</v>
      </c>
      <c r="H18" t="s">
        <v>301</v>
      </c>
      <c r="I18" s="29" t="e">
        <f t="shared" si="0"/>
        <v>#N/A</v>
      </c>
      <c r="J18" s="29" t="e">
        <f t="shared" si="1"/>
        <v>#N/A</v>
      </c>
      <c r="K18" s="29" t="e">
        <f t="shared" si="2"/>
        <v>#N/A</v>
      </c>
      <c r="N18" s="24" t="s">
        <v>1447</v>
      </c>
      <c r="O18" s="25" t="s">
        <v>615</v>
      </c>
      <c r="P18" s="25" t="s">
        <v>25</v>
      </c>
      <c r="Q18" s="25" t="s">
        <v>618</v>
      </c>
      <c r="R18" s="25" t="s">
        <v>1413</v>
      </c>
      <c r="S18" s="26">
        <v>0.9</v>
      </c>
      <c r="T18" s="25" t="s">
        <v>1409</v>
      </c>
      <c r="U18" s="25" t="s">
        <v>1426</v>
      </c>
      <c r="V18" s="25">
        <v>2023</v>
      </c>
      <c r="W18" s="25">
        <v>300</v>
      </c>
      <c r="X18" s="25">
        <v>297</v>
      </c>
      <c r="Y18" s="25">
        <v>290</v>
      </c>
      <c r="Z18" s="27">
        <v>46230</v>
      </c>
      <c r="AA18">
        <f t="shared" si="3"/>
        <v>0.9</v>
      </c>
    </row>
    <row r="19" spans="1:27" ht="42" x14ac:dyDescent="0.15">
      <c r="A19" t="s">
        <v>547</v>
      </c>
      <c r="B19" t="s">
        <v>548</v>
      </c>
      <c r="C19">
        <v>2020</v>
      </c>
      <c r="D19" t="s">
        <v>549</v>
      </c>
      <c r="E19" t="s">
        <v>321</v>
      </c>
      <c r="F19" t="s">
        <v>32</v>
      </c>
      <c r="G19">
        <v>217</v>
      </c>
      <c r="H19" t="s">
        <v>551</v>
      </c>
      <c r="I19" s="29">
        <f t="shared" si="0"/>
        <v>0.9</v>
      </c>
      <c r="J19" s="29" t="str">
        <f t="shared" si="1"/>
        <v>Q1</v>
      </c>
      <c r="K19" s="29" t="str">
        <f t="shared" si="2"/>
        <v>1939-1374</v>
      </c>
      <c r="N19" s="24" t="s">
        <v>1448</v>
      </c>
      <c r="O19" s="25" t="s">
        <v>881</v>
      </c>
      <c r="P19" s="25" t="s">
        <v>1449</v>
      </c>
      <c r="Q19" s="25" t="s">
        <v>885</v>
      </c>
      <c r="R19" s="25" t="s">
        <v>1408</v>
      </c>
      <c r="S19" s="26">
        <v>0.87</v>
      </c>
      <c r="T19" s="25" t="s">
        <v>1409</v>
      </c>
      <c r="U19" s="25" t="s">
        <v>1450</v>
      </c>
      <c r="V19" s="25">
        <v>2024</v>
      </c>
      <c r="W19" s="25">
        <v>21</v>
      </c>
      <c r="X19" s="25">
        <v>21</v>
      </c>
      <c r="Y19" s="25">
        <v>20</v>
      </c>
      <c r="Z19" s="27">
        <v>46230</v>
      </c>
      <c r="AA19" t="e">
        <f t="shared" si="3"/>
        <v>#N/A</v>
      </c>
    </row>
    <row r="20" spans="1:27" ht="42" x14ac:dyDescent="0.15">
      <c r="A20" t="s">
        <v>853</v>
      </c>
      <c r="B20" t="s">
        <v>854</v>
      </c>
      <c r="C20">
        <v>2025</v>
      </c>
      <c r="D20" t="s">
        <v>855</v>
      </c>
      <c r="E20" t="s">
        <v>640</v>
      </c>
      <c r="F20" t="s">
        <v>32</v>
      </c>
      <c r="G20">
        <v>216</v>
      </c>
      <c r="H20" t="s">
        <v>857</v>
      </c>
      <c r="I20" s="29">
        <f t="shared" si="0"/>
        <v>0.88</v>
      </c>
      <c r="J20" s="29" t="str">
        <f t="shared" si="1"/>
        <v>Q1</v>
      </c>
      <c r="K20" s="29" t="str">
        <f t="shared" si="2"/>
        <v>2590-0056</v>
      </c>
      <c r="N20" s="24" t="s">
        <v>1451</v>
      </c>
      <c r="O20" s="25" t="s">
        <v>79</v>
      </c>
      <c r="P20" s="25" t="s">
        <v>25</v>
      </c>
      <c r="Q20" s="25" t="s">
        <v>82</v>
      </c>
      <c r="R20" s="25" t="s">
        <v>1413</v>
      </c>
      <c r="S20" s="26">
        <v>0.9</v>
      </c>
      <c r="T20" s="25" t="s">
        <v>1409</v>
      </c>
      <c r="U20" s="25" t="s">
        <v>1426</v>
      </c>
      <c r="V20" s="25">
        <v>2021</v>
      </c>
      <c r="W20" s="25">
        <v>32</v>
      </c>
      <c r="X20" s="25">
        <v>32</v>
      </c>
      <c r="Y20" s="25">
        <v>36</v>
      </c>
      <c r="Z20" s="27">
        <v>46230</v>
      </c>
      <c r="AA20">
        <f t="shared" si="3"/>
        <v>0.9</v>
      </c>
    </row>
    <row r="21" spans="1:27" ht="56" x14ac:dyDescent="0.15">
      <c r="A21" t="s">
        <v>487</v>
      </c>
      <c r="B21" t="s">
        <v>488</v>
      </c>
      <c r="C21">
        <v>2021</v>
      </c>
      <c r="D21" t="s">
        <v>126</v>
      </c>
      <c r="E21" t="s">
        <v>321</v>
      </c>
      <c r="F21" t="s">
        <v>17</v>
      </c>
      <c r="G21">
        <v>202</v>
      </c>
      <c r="H21" t="s">
        <v>490</v>
      </c>
      <c r="I21" s="29" t="e">
        <f t="shared" si="0"/>
        <v>#N/A</v>
      </c>
      <c r="J21" s="29" t="e">
        <f t="shared" si="1"/>
        <v>#N/A</v>
      </c>
      <c r="K21" s="29" t="e">
        <f t="shared" si="2"/>
        <v>#N/A</v>
      </c>
      <c r="N21" s="24" t="s">
        <v>1452</v>
      </c>
      <c r="O21" s="25" t="s">
        <v>1453</v>
      </c>
      <c r="P21" s="25" t="s">
        <v>25</v>
      </c>
      <c r="Q21" s="25" t="s">
        <v>1354</v>
      </c>
      <c r="R21" s="25" t="s">
        <v>1413</v>
      </c>
      <c r="S21" s="26">
        <v>0.9</v>
      </c>
      <c r="T21" s="25" t="s">
        <v>1409</v>
      </c>
      <c r="U21" s="25" t="s">
        <v>1426</v>
      </c>
      <c r="V21" s="25">
        <v>2025</v>
      </c>
      <c r="W21" s="25">
        <v>9</v>
      </c>
      <c r="X21" s="25">
        <v>11</v>
      </c>
      <c r="Y21" s="25">
        <v>7</v>
      </c>
      <c r="Z21" s="27">
        <v>46230</v>
      </c>
      <c r="AA21" t="e">
        <f t="shared" si="3"/>
        <v>#N/A</v>
      </c>
    </row>
    <row r="22" spans="1:27" ht="56" x14ac:dyDescent="0.15">
      <c r="A22" t="s">
        <v>406</v>
      </c>
      <c r="B22" t="s">
        <v>407</v>
      </c>
      <c r="C22">
        <v>2023</v>
      </c>
      <c r="D22" t="s">
        <v>408</v>
      </c>
      <c r="E22" t="s">
        <v>321</v>
      </c>
      <c r="F22" t="s">
        <v>17</v>
      </c>
      <c r="G22">
        <v>194</v>
      </c>
      <c r="H22" t="s">
        <v>410</v>
      </c>
      <c r="I22" s="29" t="e">
        <f t="shared" si="0"/>
        <v>#N/A</v>
      </c>
      <c r="J22" s="29" t="e">
        <f t="shared" si="1"/>
        <v>#N/A</v>
      </c>
      <c r="K22" s="29" t="e">
        <f t="shared" si="2"/>
        <v>#N/A</v>
      </c>
      <c r="N22" s="24" t="s">
        <v>1454</v>
      </c>
      <c r="O22" s="25" t="s">
        <v>60</v>
      </c>
      <c r="P22" s="25" t="s">
        <v>25</v>
      </c>
      <c r="Q22" s="25" t="s">
        <v>63</v>
      </c>
      <c r="R22" s="25" t="s">
        <v>1413</v>
      </c>
      <c r="S22" s="26">
        <v>0.9</v>
      </c>
      <c r="T22" s="25" t="s">
        <v>1409</v>
      </c>
      <c r="U22" s="25" t="s">
        <v>1426</v>
      </c>
      <c r="V22" s="25">
        <v>2025</v>
      </c>
      <c r="W22" s="25">
        <v>0</v>
      </c>
      <c r="X22" s="25">
        <v>1</v>
      </c>
      <c r="Y22" s="25">
        <v>1</v>
      </c>
      <c r="Z22" s="27">
        <v>46230</v>
      </c>
      <c r="AA22">
        <f t="shared" si="3"/>
        <v>0.9</v>
      </c>
    </row>
    <row r="23" spans="1:27" ht="70" x14ac:dyDescent="0.15">
      <c r="A23" t="s">
        <v>54</v>
      </c>
      <c r="B23" t="s">
        <v>55</v>
      </c>
      <c r="C23">
        <v>2025</v>
      </c>
      <c r="D23" t="s">
        <v>56</v>
      </c>
      <c r="E23" t="s">
        <v>16</v>
      </c>
      <c r="F23" t="s">
        <v>32</v>
      </c>
      <c r="G23">
        <v>177</v>
      </c>
      <c r="H23" t="s">
        <v>58</v>
      </c>
      <c r="I23" s="29">
        <f t="shared" si="0"/>
        <v>0.82</v>
      </c>
      <c r="J23" s="29" t="str">
        <f t="shared" si="1"/>
        <v>Q1</v>
      </c>
      <c r="K23" s="29" t="str">
        <f t="shared" si="2"/>
        <v>1049-331X</v>
      </c>
      <c r="N23" s="24" t="s">
        <v>1455</v>
      </c>
      <c r="O23" s="25" t="s">
        <v>1322</v>
      </c>
      <c r="P23" s="25" t="s">
        <v>1456</v>
      </c>
      <c r="Q23" s="25" t="s">
        <v>1325</v>
      </c>
      <c r="R23" s="25" t="s">
        <v>1413</v>
      </c>
      <c r="S23" s="26">
        <v>0.97</v>
      </c>
      <c r="T23" s="25" t="s">
        <v>1409</v>
      </c>
      <c r="U23" s="25" t="s">
        <v>1457</v>
      </c>
      <c r="V23" s="25">
        <v>2026</v>
      </c>
      <c r="W23" s="25">
        <v>1</v>
      </c>
      <c r="X23" s="25">
        <v>1</v>
      </c>
      <c r="Y23" s="25">
        <v>1</v>
      </c>
      <c r="Z23" s="27">
        <v>46230</v>
      </c>
      <c r="AA23" t="e">
        <f t="shared" si="3"/>
        <v>#N/A</v>
      </c>
    </row>
    <row r="24" spans="1:27" ht="42" x14ac:dyDescent="0.15">
      <c r="A24" t="s">
        <v>1236</v>
      </c>
      <c r="B24" t="s">
        <v>1237</v>
      </c>
      <c r="C24">
        <v>2022</v>
      </c>
      <c r="D24" t="s">
        <v>1238</v>
      </c>
      <c r="E24" t="s">
        <v>1053</v>
      </c>
      <c r="F24" t="s">
        <v>32</v>
      </c>
      <c r="G24">
        <v>176</v>
      </c>
      <c r="H24" t="s">
        <v>1240</v>
      </c>
      <c r="I24" s="29" t="e">
        <f t="shared" si="0"/>
        <v>#N/A</v>
      </c>
      <c r="J24" s="29" t="e">
        <f t="shared" si="1"/>
        <v>#N/A</v>
      </c>
      <c r="K24" s="29" t="e">
        <f t="shared" si="2"/>
        <v>#N/A</v>
      </c>
      <c r="N24" s="24" t="s">
        <v>1458</v>
      </c>
      <c r="O24" s="25" t="s">
        <v>1459</v>
      </c>
      <c r="P24" s="25" t="s">
        <v>549</v>
      </c>
      <c r="Q24" s="25" t="s">
        <v>798</v>
      </c>
      <c r="R24" s="25" t="s">
        <v>1413</v>
      </c>
      <c r="S24" s="26">
        <v>0.9</v>
      </c>
      <c r="T24" s="25" t="s">
        <v>1409</v>
      </c>
      <c r="U24" s="25" t="s">
        <v>1460</v>
      </c>
      <c r="V24" s="25">
        <v>2025</v>
      </c>
      <c r="W24" s="25">
        <v>3</v>
      </c>
      <c r="X24" s="25">
        <v>6</v>
      </c>
      <c r="Y24" s="25">
        <v>5</v>
      </c>
      <c r="Z24" s="27">
        <v>46230</v>
      </c>
      <c r="AA24">
        <f t="shared" si="3"/>
        <v>0.9</v>
      </c>
    </row>
    <row r="25" spans="1:27" ht="56" x14ac:dyDescent="0.15">
      <c r="A25" t="s">
        <v>37</v>
      </c>
      <c r="B25" t="s">
        <v>38</v>
      </c>
      <c r="C25">
        <v>2025</v>
      </c>
      <c r="D25" t="s">
        <v>39</v>
      </c>
      <c r="E25" t="s">
        <v>16</v>
      </c>
      <c r="F25" t="s">
        <v>17</v>
      </c>
      <c r="G25">
        <v>169</v>
      </c>
      <c r="H25" t="s">
        <v>41</v>
      </c>
      <c r="I25" s="29">
        <f t="shared" si="0"/>
        <v>0.99</v>
      </c>
      <c r="J25" s="29" t="str">
        <f t="shared" si="1"/>
        <v>Q1</v>
      </c>
      <c r="K25" s="29" t="str">
        <f t="shared" si="2"/>
        <v>1566-2535</v>
      </c>
      <c r="N25" s="24" t="s">
        <v>1461</v>
      </c>
      <c r="O25" s="25" t="s">
        <v>48</v>
      </c>
      <c r="P25" s="25" t="s">
        <v>50</v>
      </c>
      <c r="Q25" s="25" t="s">
        <v>52</v>
      </c>
      <c r="R25" s="25" t="s">
        <v>1413</v>
      </c>
      <c r="S25" s="26">
        <v>0.97</v>
      </c>
      <c r="T25" s="25" t="s">
        <v>1409</v>
      </c>
      <c r="U25" s="25" t="s">
        <v>1462</v>
      </c>
      <c r="V25" s="25">
        <v>2025</v>
      </c>
      <c r="W25" s="25">
        <v>48</v>
      </c>
      <c r="X25" s="25">
        <v>54</v>
      </c>
      <c r="Y25" s="25">
        <v>51</v>
      </c>
      <c r="Z25" s="27">
        <v>46230</v>
      </c>
      <c r="AA25">
        <f t="shared" si="3"/>
        <v>0.97</v>
      </c>
    </row>
    <row r="26" spans="1:27" ht="84" x14ac:dyDescent="0.15">
      <c r="A26" t="s">
        <v>610</v>
      </c>
      <c r="B26" t="s">
        <v>611</v>
      </c>
      <c r="C26">
        <v>2024</v>
      </c>
      <c r="D26" t="s">
        <v>25</v>
      </c>
      <c r="E26" t="s">
        <v>599</v>
      </c>
      <c r="F26" t="s">
        <v>32</v>
      </c>
      <c r="G26">
        <v>147</v>
      </c>
      <c r="H26" t="s">
        <v>613</v>
      </c>
      <c r="I26" s="29">
        <f t="shared" si="0"/>
        <v>0.9</v>
      </c>
      <c r="J26" s="29" t="str">
        <f t="shared" si="1"/>
        <v>Q1</v>
      </c>
      <c r="K26" s="29" t="str">
        <f t="shared" si="2"/>
        <v>2169-3536</v>
      </c>
      <c r="N26" s="24" t="s">
        <v>1463</v>
      </c>
      <c r="O26" s="25" t="s">
        <v>1264</v>
      </c>
      <c r="P26" s="25" t="s">
        <v>1266</v>
      </c>
      <c r="Q26" s="25" t="s">
        <v>1268</v>
      </c>
      <c r="R26" s="25" t="s">
        <v>1413</v>
      </c>
      <c r="S26" s="26">
        <v>0.89</v>
      </c>
      <c r="T26" s="25" t="s">
        <v>1409</v>
      </c>
      <c r="U26" s="25" t="s">
        <v>1464</v>
      </c>
      <c r="V26" s="25">
        <v>2026</v>
      </c>
      <c r="W26" s="25">
        <v>1</v>
      </c>
      <c r="X26" s="25">
        <v>2</v>
      </c>
      <c r="Y26" s="25">
        <v>0</v>
      </c>
      <c r="Z26" s="27">
        <v>46230</v>
      </c>
      <c r="AA26" t="e">
        <f t="shared" si="3"/>
        <v>#N/A</v>
      </c>
    </row>
    <row r="27" spans="1:27" ht="56" x14ac:dyDescent="0.15">
      <c r="A27" t="s">
        <v>454</v>
      </c>
      <c r="B27" t="s">
        <v>455</v>
      </c>
      <c r="C27">
        <v>2022</v>
      </c>
      <c r="D27" t="s">
        <v>456</v>
      </c>
      <c r="E27" t="s">
        <v>321</v>
      </c>
      <c r="F27" t="s">
        <v>75</v>
      </c>
      <c r="G27">
        <v>142</v>
      </c>
      <c r="H27" t="s">
        <v>458</v>
      </c>
      <c r="I27" s="29" t="e">
        <f t="shared" si="0"/>
        <v>#N/A</v>
      </c>
      <c r="J27" s="29" t="e">
        <f t="shared" si="1"/>
        <v>#N/A</v>
      </c>
      <c r="K27" s="29" t="e">
        <f t="shared" si="2"/>
        <v>#N/A</v>
      </c>
      <c r="N27" s="24" t="s">
        <v>1465</v>
      </c>
      <c r="O27" s="25" t="s">
        <v>1466</v>
      </c>
      <c r="P27" s="25" t="s">
        <v>549</v>
      </c>
      <c r="Q27" s="25" t="s">
        <v>1005</v>
      </c>
      <c r="R27" s="25" t="s">
        <v>1413</v>
      </c>
      <c r="S27" s="26">
        <v>0.9</v>
      </c>
      <c r="T27" s="25" t="s">
        <v>1409</v>
      </c>
      <c r="U27" s="25" t="s">
        <v>1460</v>
      </c>
      <c r="V27" s="25">
        <v>2026</v>
      </c>
      <c r="W27" s="25">
        <v>0</v>
      </c>
      <c r="X27" s="25">
        <v>1</v>
      </c>
      <c r="Y27" s="25">
        <v>1</v>
      </c>
      <c r="Z27" s="27">
        <v>46230</v>
      </c>
      <c r="AA27">
        <f t="shared" si="3"/>
        <v>0.9</v>
      </c>
    </row>
    <row r="28" spans="1:27" ht="42" x14ac:dyDescent="0.15">
      <c r="A28" t="s">
        <v>1196</v>
      </c>
      <c r="B28" t="s">
        <v>1197</v>
      </c>
      <c r="C28">
        <v>2025</v>
      </c>
      <c r="D28" t="s">
        <v>1198</v>
      </c>
      <c r="E28" t="s">
        <v>1053</v>
      </c>
      <c r="F28" t="s">
        <v>32</v>
      </c>
      <c r="G28">
        <v>126</v>
      </c>
      <c r="H28" t="s">
        <v>1200</v>
      </c>
      <c r="I28" s="29">
        <f t="shared" si="0"/>
        <v>0.84</v>
      </c>
      <c r="J28" s="29" t="str">
        <f t="shared" si="1"/>
        <v>Q1</v>
      </c>
      <c r="K28" s="29" t="str">
        <f t="shared" si="2"/>
        <v>1999-5903</v>
      </c>
      <c r="N28" s="24" t="s">
        <v>1467</v>
      </c>
      <c r="O28" s="25" t="s">
        <v>1347</v>
      </c>
      <c r="P28" s="25" t="s">
        <v>1468</v>
      </c>
      <c r="Q28" s="25" t="s">
        <v>1350</v>
      </c>
      <c r="R28" s="25" t="s">
        <v>1413</v>
      </c>
      <c r="S28" s="26">
        <v>0.97</v>
      </c>
      <c r="T28" s="25" t="s">
        <v>1409</v>
      </c>
      <c r="U28" s="25" t="s">
        <v>1469</v>
      </c>
      <c r="V28" s="25">
        <v>2026</v>
      </c>
      <c r="W28" s="25">
        <v>3</v>
      </c>
      <c r="X28" s="25">
        <v>3</v>
      </c>
      <c r="Y28" s="25">
        <v>2</v>
      </c>
      <c r="Z28" s="27">
        <v>46230</v>
      </c>
      <c r="AA28" t="e">
        <f t="shared" si="3"/>
        <v>#N/A</v>
      </c>
    </row>
    <row r="29" spans="1:27" ht="56" x14ac:dyDescent="0.15">
      <c r="A29" t="s">
        <v>471</v>
      </c>
      <c r="B29" t="s">
        <v>472</v>
      </c>
      <c r="C29">
        <v>2022</v>
      </c>
      <c r="D29" t="s">
        <v>420</v>
      </c>
      <c r="E29" t="s">
        <v>321</v>
      </c>
      <c r="F29" t="s">
        <v>32</v>
      </c>
      <c r="G29">
        <v>124</v>
      </c>
      <c r="H29" t="s">
        <v>474</v>
      </c>
      <c r="I29" s="29" t="e">
        <f t="shared" si="0"/>
        <v>#N/A</v>
      </c>
      <c r="J29" s="29" t="e">
        <f t="shared" si="1"/>
        <v>#N/A</v>
      </c>
      <c r="K29" s="29" t="e">
        <f t="shared" si="2"/>
        <v>#N/A</v>
      </c>
      <c r="N29" s="24" t="s">
        <v>1470</v>
      </c>
      <c r="O29" s="25" t="s">
        <v>1471</v>
      </c>
      <c r="P29" s="25" t="s">
        <v>25</v>
      </c>
      <c r="Q29" s="25" t="s">
        <v>1118</v>
      </c>
      <c r="R29" s="25" t="s">
        <v>1413</v>
      </c>
      <c r="S29" s="26">
        <v>0.9</v>
      </c>
      <c r="T29" s="25" t="s">
        <v>1409</v>
      </c>
      <c r="U29" s="25" t="s">
        <v>1426</v>
      </c>
      <c r="V29" s="25">
        <v>2025</v>
      </c>
      <c r="W29" s="25">
        <v>10</v>
      </c>
      <c r="X29" s="25">
        <v>16</v>
      </c>
      <c r="Y29" s="25">
        <v>18</v>
      </c>
      <c r="Z29" s="27">
        <v>46230</v>
      </c>
      <c r="AA29">
        <f t="shared" si="3"/>
        <v>0.9</v>
      </c>
    </row>
    <row r="30" spans="1:27" ht="56" x14ac:dyDescent="0.15">
      <c r="A30" t="s">
        <v>444</v>
      </c>
      <c r="B30" t="s">
        <v>445</v>
      </c>
      <c r="C30">
        <v>2022</v>
      </c>
      <c r="D30" t="s">
        <v>25</v>
      </c>
      <c r="E30" t="s">
        <v>321</v>
      </c>
      <c r="F30" t="s">
        <v>17</v>
      </c>
      <c r="G30">
        <v>115</v>
      </c>
      <c r="H30" t="s">
        <v>447</v>
      </c>
      <c r="I30" s="29">
        <f t="shared" si="0"/>
        <v>0.9</v>
      </c>
      <c r="J30" s="29" t="str">
        <f t="shared" si="1"/>
        <v>Q1</v>
      </c>
      <c r="K30" s="29" t="str">
        <f t="shared" si="2"/>
        <v>2169-3536</v>
      </c>
      <c r="N30" s="24" t="s">
        <v>1472</v>
      </c>
      <c r="O30" s="25" t="s">
        <v>740</v>
      </c>
      <c r="P30" s="25" t="s">
        <v>1473</v>
      </c>
      <c r="Q30" s="25" t="s">
        <v>743</v>
      </c>
      <c r="R30" s="25" t="s">
        <v>1408</v>
      </c>
      <c r="S30" s="26">
        <v>0.87</v>
      </c>
      <c r="T30" s="25" t="s">
        <v>1409</v>
      </c>
      <c r="U30" s="25" t="s">
        <v>1474</v>
      </c>
      <c r="V30" s="25">
        <v>2025</v>
      </c>
      <c r="W30" s="25">
        <v>5</v>
      </c>
      <c r="X30" s="25">
        <v>5</v>
      </c>
      <c r="Y30" s="25">
        <v>7</v>
      </c>
      <c r="Z30" s="27">
        <v>46230</v>
      </c>
      <c r="AA30" t="e">
        <f t="shared" si="3"/>
        <v>#N/A</v>
      </c>
    </row>
    <row r="31" spans="1:27" ht="56" x14ac:dyDescent="0.15">
      <c r="A31" t="s">
        <v>1222</v>
      </c>
      <c r="B31" t="s">
        <v>1223</v>
      </c>
      <c r="C31">
        <v>2024</v>
      </c>
      <c r="D31" t="s">
        <v>25</v>
      </c>
      <c r="E31" t="s">
        <v>1053</v>
      </c>
      <c r="F31" t="s">
        <v>32</v>
      </c>
      <c r="G31">
        <v>92</v>
      </c>
      <c r="H31" t="s">
        <v>1225</v>
      </c>
      <c r="I31" s="29">
        <f t="shared" si="0"/>
        <v>0.9</v>
      </c>
      <c r="J31" s="29" t="str">
        <f t="shared" si="1"/>
        <v>Q1</v>
      </c>
      <c r="K31" s="29" t="str">
        <f t="shared" si="2"/>
        <v>2169-3536</v>
      </c>
      <c r="N31" s="24" t="s">
        <v>1475</v>
      </c>
      <c r="O31" s="25" t="s">
        <v>1476</v>
      </c>
      <c r="P31" s="25" t="s">
        <v>1303</v>
      </c>
      <c r="Q31" s="25" t="s">
        <v>1304</v>
      </c>
      <c r="R31" s="25" t="s">
        <v>1408</v>
      </c>
      <c r="S31" s="26">
        <v>0.86</v>
      </c>
      <c r="T31" s="25" t="s">
        <v>1409</v>
      </c>
      <c r="U31" s="25" t="s">
        <v>1477</v>
      </c>
      <c r="V31" s="25">
        <v>2026</v>
      </c>
      <c r="W31" s="25">
        <v>0</v>
      </c>
      <c r="X31" s="25">
        <v>1</v>
      </c>
      <c r="Y31" s="25">
        <v>0</v>
      </c>
      <c r="Z31" s="27">
        <v>46230</v>
      </c>
      <c r="AA31" t="e">
        <f t="shared" si="3"/>
        <v>#N/A</v>
      </c>
    </row>
    <row r="32" spans="1:27" ht="56" x14ac:dyDescent="0.15">
      <c r="A32" t="s">
        <v>1036</v>
      </c>
      <c r="B32" t="s">
        <v>1037</v>
      </c>
      <c r="C32">
        <v>2021</v>
      </c>
      <c r="D32" t="s">
        <v>1038</v>
      </c>
      <c r="E32" t="s">
        <v>957</v>
      </c>
      <c r="F32" t="s">
        <v>75</v>
      </c>
      <c r="G32">
        <v>87</v>
      </c>
      <c r="H32" t="s">
        <v>1040</v>
      </c>
      <c r="I32" s="29" t="e">
        <f t="shared" si="0"/>
        <v>#N/A</v>
      </c>
      <c r="J32" s="29" t="e">
        <f t="shared" si="1"/>
        <v>#N/A</v>
      </c>
      <c r="K32" s="29" t="e">
        <f t="shared" si="2"/>
        <v>#N/A</v>
      </c>
      <c r="N32" s="24" t="s">
        <v>1478</v>
      </c>
      <c r="O32" s="25" t="s">
        <v>1343</v>
      </c>
      <c r="P32" s="25" t="s">
        <v>268</v>
      </c>
      <c r="Q32" s="25" t="s">
        <v>1345</v>
      </c>
      <c r="R32" s="25" t="s">
        <v>1408</v>
      </c>
      <c r="S32" s="26">
        <v>0.76</v>
      </c>
      <c r="T32" s="25" t="s">
        <v>1417</v>
      </c>
      <c r="U32" s="25" t="s">
        <v>1479</v>
      </c>
      <c r="V32" s="25">
        <v>2025</v>
      </c>
      <c r="W32" s="25">
        <v>8</v>
      </c>
      <c r="X32" s="25">
        <v>10</v>
      </c>
      <c r="Y32" s="25">
        <v>13</v>
      </c>
      <c r="Z32" s="27">
        <v>46230</v>
      </c>
      <c r="AA32" t="e">
        <f t="shared" si="3"/>
        <v>#N/A</v>
      </c>
    </row>
    <row r="33" spans="1:27" ht="56" x14ac:dyDescent="0.15">
      <c r="A33" t="s">
        <v>476</v>
      </c>
      <c r="B33" t="s">
        <v>477</v>
      </c>
      <c r="C33">
        <v>2021</v>
      </c>
      <c r="D33" t="s">
        <v>143</v>
      </c>
      <c r="E33" t="s">
        <v>321</v>
      </c>
      <c r="F33" t="s">
        <v>75</v>
      </c>
      <c r="G33">
        <v>80</v>
      </c>
      <c r="H33" t="s">
        <v>479</v>
      </c>
      <c r="I33" s="29" t="e">
        <f t="shared" si="0"/>
        <v>#N/A</v>
      </c>
      <c r="J33" s="29" t="e">
        <f t="shared" si="1"/>
        <v>#N/A</v>
      </c>
      <c r="K33" s="29" t="e">
        <f t="shared" si="2"/>
        <v>#N/A</v>
      </c>
      <c r="N33" s="24" t="s">
        <v>1480</v>
      </c>
      <c r="O33" s="25" t="s">
        <v>1481</v>
      </c>
      <c r="P33" s="25" t="s">
        <v>268</v>
      </c>
      <c r="Q33" s="25" t="s">
        <v>1294</v>
      </c>
      <c r="R33" s="25" t="s">
        <v>1408</v>
      </c>
      <c r="S33" s="26">
        <v>0.76</v>
      </c>
      <c r="T33" s="25" t="s">
        <v>1417</v>
      </c>
      <c r="U33" s="25" t="s">
        <v>1479</v>
      </c>
      <c r="V33" s="25">
        <v>2026</v>
      </c>
      <c r="W33" s="25">
        <v>1</v>
      </c>
      <c r="X33" s="25">
        <v>1</v>
      </c>
      <c r="Y33" s="25">
        <v>1</v>
      </c>
      <c r="Z33" s="27">
        <v>46230</v>
      </c>
      <c r="AA33" t="e">
        <f t="shared" si="3"/>
        <v>#N/A</v>
      </c>
    </row>
    <row r="34" spans="1:27" ht="70" x14ac:dyDescent="0.15">
      <c r="A34" t="s">
        <v>363</v>
      </c>
      <c r="B34" t="s">
        <v>364</v>
      </c>
      <c r="C34">
        <v>2024</v>
      </c>
      <c r="D34" t="s">
        <v>25</v>
      </c>
      <c r="E34" t="s">
        <v>321</v>
      </c>
      <c r="F34" t="s">
        <v>17</v>
      </c>
      <c r="G34">
        <v>78</v>
      </c>
      <c r="H34" t="s">
        <v>366</v>
      </c>
      <c r="I34" s="29">
        <f t="shared" si="0"/>
        <v>0.9</v>
      </c>
      <c r="J34" s="29" t="str">
        <f t="shared" si="1"/>
        <v>Q1</v>
      </c>
      <c r="K34" s="29" t="str">
        <f t="shared" si="2"/>
        <v>2169-3536</v>
      </c>
      <c r="N34" s="24" t="s">
        <v>1482</v>
      </c>
      <c r="O34" s="25" t="s">
        <v>1128</v>
      </c>
      <c r="P34" s="25" t="s">
        <v>831</v>
      </c>
      <c r="Q34" s="25" t="s">
        <v>1129</v>
      </c>
      <c r="R34" s="25" t="s">
        <v>1408</v>
      </c>
      <c r="S34" s="26">
        <v>0.77</v>
      </c>
      <c r="T34" s="25" t="s">
        <v>1409</v>
      </c>
      <c r="U34" s="25" t="s">
        <v>1410</v>
      </c>
      <c r="V34" s="25">
        <v>2025</v>
      </c>
      <c r="W34" s="25">
        <v>11</v>
      </c>
      <c r="X34" s="25">
        <v>11</v>
      </c>
      <c r="Y34" s="25">
        <v>11</v>
      </c>
      <c r="Z34" s="27">
        <v>46230</v>
      </c>
      <c r="AA34">
        <f t="shared" si="3"/>
        <v>0.77</v>
      </c>
    </row>
    <row r="35" spans="1:27" ht="42" x14ac:dyDescent="0.15">
      <c r="A35" t="s">
        <v>1206</v>
      </c>
      <c r="B35" t="s">
        <v>1207</v>
      </c>
      <c r="C35">
        <v>2024</v>
      </c>
      <c r="D35" t="s">
        <v>25</v>
      </c>
      <c r="E35" t="s">
        <v>1053</v>
      </c>
      <c r="F35" t="s">
        <v>17</v>
      </c>
      <c r="G35">
        <v>76</v>
      </c>
      <c r="H35" t="s">
        <v>1209</v>
      </c>
      <c r="I35" s="29">
        <f t="shared" si="0"/>
        <v>0.9</v>
      </c>
      <c r="J35" s="29" t="str">
        <f t="shared" si="1"/>
        <v>Q1</v>
      </c>
      <c r="K35" s="29" t="str">
        <f t="shared" si="2"/>
        <v>2169-3536</v>
      </c>
      <c r="N35" s="24" t="s">
        <v>1483</v>
      </c>
      <c r="O35" s="25" t="s">
        <v>1120</v>
      </c>
      <c r="P35" s="25" t="s">
        <v>1122</v>
      </c>
      <c r="Q35" s="25" t="s">
        <v>1123</v>
      </c>
      <c r="R35" s="25" t="s">
        <v>1408</v>
      </c>
      <c r="S35" s="26">
        <v>0.81</v>
      </c>
      <c r="T35" s="25" t="s">
        <v>1417</v>
      </c>
      <c r="U35" s="25" t="s">
        <v>1484</v>
      </c>
      <c r="V35" s="25">
        <v>2025</v>
      </c>
      <c r="W35" s="25">
        <v>1</v>
      </c>
      <c r="X35" s="25">
        <v>2</v>
      </c>
      <c r="Y35" s="25">
        <v>2</v>
      </c>
      <c r="Z35" s="27">
        <v>46230</v>
      </c>
      <c r="AA35" t="e">
        <f t="shared" si="3"/>
        <v>#N/A</v>
      </c>
    </row>
    <row r="36" spans="1:27" ht="42" x14ac:dyDescent="0.15">
      <c r="A36" t="s">
        <v>557</v>
      </c>
      <c r="B36" t="s">
        <v>558</v>
      </c>
      <c r="C36">
        <v>2020</v>
      </c>
      <c r="D36" t="s">
        <v>559</v>
      </c>
      <c r="E36" t="s">
        <v>321</v>
      </c>
      <c r="F36" t="s">
        <v>32</v>
      </c>
      <c r="G36">
        <v>71</v>
      </c>
      <c r="H36" t="s">
        <v>561</v>
      </c>
      <c r="I36" s="29" t="e">
        <f t="shared" si="0"/>
        <v>#N/A</v>
      </c>
      <c r="J36" s="29" t="e">
        <f t="shared" si="1"/>
        <v>#N/A</v>
      </c>
      <c r="K36" s="29" t="e">
        <f t="shared" si="2"/>
        <v>#N/A</v>
      </c>
      <c r="N36" s="24" t="s">
        <v>1485</v>
      </c>
      <c r="O36" s="25" t="s">
        <v>1296</v>
      </c>
      <c r="P36" s="25" t="s">
        <v>1486</v>
      </c>
      <c r="Q36" s="25" t="s">
        <v>1299</v>
      </c>
      <c r="R36" s="25" t="s">
        <v>1408</v>
      </c>
      <c r="S36" s="26">
        <v>0.86</v>
      </c>
      <c r="T36" s="25" t="s">
        <v>1417</v>
      </c>
      <c r="U36" s="25" t="s">
        <v>1487</v>
      </c>
      <c r="V36" s="25">
        <v>2026</v>
      </c>
      <c r="W36" s="25">
        <v>0</v>
      </c>
      <c r="X36" s="25">
        <v>0</v>
      </c>
      <c r="Y36" s="25">
        <v>0</v>
      </c>
      <c r="Z36" s="27">
        <v>46230</v>
      </c>
      <c r="AA36" t="e">
        <f t="shared" si="3"/>
        <v>#N/A</v>
      </c>
    </row>
    <row r="37" spans="1:27" ht="70" x14ac:dyDescent="0.15">
      <c r="A37" t="s">
        <v>530</v>
      </c>
      <c r="B37" t="s">
        <v>531</v>
      </c>
      <c r="C37">
        <v>2020</v>
      </c>
      <c r="D37" t="s">
        <v>532</v>
      </c>
      <c r="E37" t="s">
        <v>321</v>
      </c>
      <c r="F37" t="s">
        <v>75</v>
      </c>
      <c r="G37">
        <v>68</v>
      </c>
      <c r="H37" t="s">
        <v>534</v>
      </c>
      <c r="I37" s="29" t="e">
        <f t="shared" si="0"/>
        <v>#N/A</v>
      </c>
      <c r="J37" s="29" t="e">
        <f t="shared" si="1"/>
        <v>#N/A</v>
      </c>
      <c r="K37" s="29" t="e">
        <f t="shared" si="2"/>
        <v>#N/A</v>
      </c>
      <c r="N37" s="24" t="s">
        <v>1488</v>
      </c>
      <c r="O37" s="25" t="s">
        <v>1285</v>
      </c>
      <c r="P37" s="25" t="s">
        <v>1192</v>
      </c>
      <c r="Q37" s="25" t="s">
        <v>1287</v>
      </c>
      <c r="R37" s="25" t="s">
        <v>1408</v>
      </c>
      <c r="S37" s="26">
        <v>0.78</v>
      </c>
      <c r="T37" s="25" t="s">
        <v>1417</v>
      </c>
      <c r="U37" s="25" t="s">
        <v>1418</v>
      </c>
      <c r="V37" s="25">
        <v>2026</v>
      </c>
      <c r="W37" s="25">
        <v>5</v>
      </c>
      <c r="X37" s="25">
        <v>5</v>
      </c>
      <c r="Y37" s="25">
        <v>2</v>
      </c>
      <c r="Z37" s="27">
        <v>46230</v>
      </c>
      <c r="AA37" t="e">
        <f t="shared" si="3"/>
        <v>#N/A</v>
      </c>
    </row>
    <row r="38" spans="1:27" ht="56" x14ac:dyDescent="0.15">
      <c r="A38" t="s">
        <v>843</v>
      </c>
      <c r="B38" t="s">
        <v>844</v>
      </c>
      <c r="C38">
        <v>2025</v>
      </c>
      <c r="D38" t="s">
        <v>25</v>
      </c>
      <c r="E38" t="s">
        <v>640</v>
      </c>
      <c r="F38" t="s">
        <v>32</v>
      </c>
      <c r="G38">
        <v>65</v>
      </c>
      <c r="H38" t="s">
        <v>846</v>
      </c>
      <c r="I38" s="29">
        <f t="shared" si="0"/>
        <v>0.9</v>
      </c>
      <c r="J38" s="29" t="str">
        <f t="shared" si="1"/>
        <v>Q1</v>
      </c>
      <c r="K38" s="29" t="str">
        <f t="shared" si="2"/>
        <v>2169-3536</v>
      </c>
      <c r="N38" s="24" t="s">
        <v>1489</v>
      </c>
      <c r="O38" s="25" t="s">
        <v>1490</v>
      </c>
      <c r="P38" s="25" t="s">
        <v>268</v>
      </c>
      <c r="Q38" s="25" t="s">
        <v>269</v>
      </c>
      <c r="R38" s="25" t="s">
        <v>1408</v>
      </c>
      <c r="S38" s="26">
        <v>0.76</v>
      </c>
      <c r="T38" s="25" t="s">
        <v>1417</v>
      </c>
      <c r="U38" s="25" t="s">
        <v>1479</v>
      </c>
      <c r="V38" s="25">
        <v>2025</v>
      </c>
      <c r="W38" s="25">
        <v>0</v>
      </c>
      <c r="X38" s="25">
        <v>0</v>
      </c>
      <c r="Y38" s="25">
        <v>1</v>
      </c>
      <c r="Z38" s="27">
        <v>46230</v>
      </c>
      <c r="AA38">
        <f t="shared" si="3"/>
        <v>0.76</v>
      </c>
    </row>
    <row r="39" spans="1:27" ht="28" x14ac:dyDescent="0.15">
      <c r="A39" t="s">
        <v>220</v>
      </c>
      <c r="B39" t="s">
        <v>221</v>
      </c>
      <c r="C39">
        <v>2020</v>
      </c>
      <c r="D39" t="s">
        <v>222</v>
      </c>
      <c r="E39" t="s">
        <v>155</v>
      </c>
      <c r="F39" t="s">
        <v>32</v>
      </c>
      <c r="G39">
        <v>62</v>
      </c>
      <c r="H39" t="s">
        <v>224</v>
      </c>
      <c r="I39" s="29" t="e">
        <f t="shared" si="0"/>
        <v>#N/A</v>
      </c>
      <c r="J39" s="29" t="e">
        <f t="shared" si="1"/>
        <v>#N/A</v>
      </c>
      <c r="K39" s="29" t="e">
        <f t="shared" si="2"/>
        <v>#N/A</v>
      </c>
      <c r="N39" s="24" t="s">
        <v>1491</v>
      </c>
      <c r="O39" s="25" t="s">
        <v>1185</v>
      </c>
      <c r="P39" s="25" t="s">
        <v>1492</v>
      </c>
      <c r="Q39" s="25" t="s">
        <v>1188</v>
      </c>
      <c r="R39" s="25" t="s">
        <v>1493</v>
      </c>
      <c r="S39" s="26">
        <v>0.65</v>
      </c>
      <c r="T39" s="25" t="s">
        <v>1417</v>
      </c>
      <c r="U39" s="25" t="s">
        <v>1494</v>
      </c>
      <c r="V39" s="25">
        <v>2025</v>
      </c>
      <c r="W39" s="25">
        <v>6</v>
      </c>
      <c r="X39" s="25">
        <v>8</v>
      </c>
      <c r="Y39" s="25">
        <v>8</v>
      </c>
      <c r="Z39" s="27">
        <v>46230</v>
      </c>
      <c r="AA39" t="e">
        <f t="shared" si="3"/>
        <v>#N/A</v>
      </c>
    </row>
    <row r="40" spans="1:27" ht="56" x14ac:dyDescent="0.15">
      <c r="A40" t="s">
        <v>48</v>
      </c>
      <c r="B40" t="s">
        <v>49</v>
      </c>
      <c r="C40">
        <v>2025</v>
      </c>
      <c r="D40" t="s">
        <v>50</v>
      </c>
      <c r="E40" t="s">
        <v>16</v>
      </c>
      <c r="F40" t="s">
        <v>32</v>
      </c>
      <c r="G40">
        <v>59</v>
      </c>
      <c r="H40" t="s">
        <v>52</v>
      </c>
      <c r="I40" s="29">
        <f t="shared" si="0"/>
        <v>0.97</v>
      </c>
      <c r="J40" s="29" t="str">
        <f t="shared" si="1"/>
        <v>Q1</v>
      </c>
      <c r="K40" s="29" t="str">
        <f t="shared" si="2"/>
        <v>0957-4174</v>
      </c>
      <c r="N40" s="24" t="s">
        <v>1495</v>
      </c>
      <c r="O40" s="25" t="s">
        <v>1496</v>
      </c>
      <c r="P40" s="25" t="s">
        <v>725</v>
      </c>
      <c r="Q40" s="25" t="s">
        <v>727</v>
      </c>
      <c r="R40" s="25" t="s">
        <v>1493</v>
      </c>
      <c r="S40" s="26">
        <v>0.68</v>
      </c>
      <c r="T40" s="25" t="s">
        <v>1417</v>
      </c>
      <c r="U40" s="25" t="s">
        <v>1497</v>
      </c>
      <c r="V40" s="25">
        <v>2025</v>
      </c>
      <c r="W40" s="25">
        <v>11</v>
      </c>
      <c r="X40" s="25">
        <v>13</v>
      </c>
      <c r="Y40" s="25">
        <v>7</v>
      </c>
      <c r="Z40" s="27">
        <v>46230</v>
      </c>
      <c r="AA40" t="e">
        <f t="shared" si="3"/>
        <v>#N/A</v>
      </c>
    </row>
    <row r="41" spans="1:27" ht="14" x14ac:dyDescent="0.15">
      <c r="A41" t="s">
        <v>1165</v>
      </c>
      <c r="B41" t="s">
        <v>1166</v>
      </c>
      <c r="C41">
        <v>2025</v>
      </c>
      <c r="D41" t="s">
        <v>1167</v>
      </c>
      <c r="E41" t="s">
        <v>1053</v>
      </c>
      <c r="F41" t="s">
        <v>17</v>
      </c>
      <c r="G41">
        <v>57</v>
      </c>
      <c r="H41" t="s">
        <v>1168</v>
      </c>
      <c r="I41" s="29" t="e">
        <f t="shared" si="0"/>
        <v>#N/A</v>
      </c>
      <c r="J41" s="29" t="e">
        <f t="shared" si="1"/>
        <v>#N/A</v>
      </c>
      <c r="K41" s="29" t="e">
        <f t="shared" si="2"/>
        <v>#N/A</v>
      </c>
    </row>
    <row r="42" spans="1:27" ht="14" x14ac:dyDescent="0.15">
      <c r="A42" t="s">
        <v>141</v>
      </c>
      <c r="B42" t="s">
        <v>142</v>
      </c>
      <c r="C42">
        <v>2021</v>
      </c>
      <c r="D42" t="s">
        <v>143</v>
      </c>
      <c r="E42" t="s">
        <v>91</v>
      </c>
      <c r="F42" t="s">
        <v>32</v>
      </c>
      <c r="G42">
        <v>53</v>
      </c>
      <c r="H42" t="s">
        <v>145</v>
      </c>
      <c r="I42" s="29" t="e">
        <f t="shared" si="0"/>
        <v>#N/A</v>
      </c>
      <c r="J42" s="29" t="e">
        <f t="shared" si="1"/>
        <v>#N/A</v>
      </c>
      <c r="K42" s="29" t="e">
        <f t="shared" si="2"/>
        <v>#N/A</v>
      </c>
    </row>
    <row r="43" spans="1:27" ht="14" x14ac:dyDescent="0.15">
      <c r="A43" t="s">
        <v>130</v>
      </c>
      <c r="B43" t="s">
        <v>131</v>
      </c>
      <c r="C43">
        <v>2023</v>
      </c>
      <c r="D43" t="s">
        <v>126</v>
      </c>
      <c r="E43" t="s">
        <v>91</v>
      </c>
      <c r="F43" t="s">
        <v>75</v>
      </c>
      <c r="G43">
        <v>52</v>
      </c>
      <c r="H43" t="s">
        <v>133</v>
      </c>
      <c r="I43" s="29" t="e">
        <f t="shared" si="0"/>
        <v>#N/A</v>
      </c>
      <c r="J43" s="29" t="e">
        <f t="shared" si="1"/>
        <v>#N/A</v>
      </c>
      <c r="K43" s="29" t="e">
        <f t="shared" si="2"/>
        <v>#N/A</v>
      </c>
    </row>
    <row r="44" spans="1:27" ht="14" x14ac:dyDescent="0.15">
      <c r="A44" t="s">
        <v>816</v>
      </c>
      <c r="B44" t="s">
        <v>817</v>
      </c>
      <c r="C44">
        <v>2025</v>
      </c>
      <c r="D44" t="s">
        <v>175</v>
      </c>
      <c r="E44" t="s">
        <v>640</v>
      </c>
      <c r="F44" t="s">
        <v>32</v>
      </c>
      <c r="G44">
        <v>52</v>
      </c>
      <c r="H44" t="s">
        <v>818</v>
      </c>
      <c r="I44" s="29" t="e">
        <f t="shared" si="0"/>
        <v>#N/A</v>
      </c>
      <c r="J44" s="29" t="e">
        <f t="shared" si="1"/>
        <v>#N/A</v>
      </c>
      <c r="K44" s="29" t="e">
        <f t="shared" si="2"/>
        <v>#N/A</v>
      </c>
    </row>
    <row r="45" spans="1:27" ht="14" x14ac:dyDescent="0.15">
      <c r="A45" t="s">
        <v>1176</v>
      </c>
      <c r="B45" t="s">
        <v>1177</v>
      </c>
      <c r="C45">
        <v>2025</v>
      </c>
      <c r="D45" t="s">
        <v>1178</v>
      </c>
      <c r="E45" t="s">
        <v>1053</v>
      </c>
      <c r="F45" t="s">
        <v>32</v>
      </c>
      <c r="G45">
        <v>51</v>
      </c>
      <c r="H45" t="s">
        <v>1180</v>
      </c>
      <c r="I45" s="29">
        <f t="shared" si="0"/>
        <v>0.97</v>
      </c>
      <c r="J45" s="29" t="str">
        <f t="shared" si="1"/>
        <v>Q1</v>
      </c>
      <c r="K45" s="29" t="str">
        <f t="shared" si="2"/>
        <v>0308-5961</v>
      </c>
    </row>
    <row r="46" spans="1:27" ht="14" x14ac:dyDescent="0.15">
      <c r="A46" t="s">
        <v>303</v>
      </c>
      <c r="B46" t="s">
        <v>304</v>
      </c>
      <c r="C46">
        <v>2021</v>
      </c>
      <c r="D46" t="s">
        <v>305</v>
      </c>
      <c r="E46" t="s">
        <v>237</v>
      </c>
      <c r="F46" t="s">
        <v>32</v>
      </c>
      <c r="G46">
        <v>50</v>
      </c>
      <c r="H46" t="s">
        <v>307</v>
      </c>
      <c r="I46" s="29" t="e">
        <f t="shared" si="0"/>
        <v>#N/A</v>
      </c>
      <c r="J46" s="29" t="e">
        <f t="shared" si="1"/>
        <v>#N/A</v>
      </c>
      <c r="K46" s="29" t="e">
        <f t="shared" si="2"/>
        <v>#N/A</v>
      </c>
    </row>
    <row r="47" spans="1:27" ht="14" x14ac:dyDescent="0.15">
      <c r="A47" t="s">
        <v>835</v>
      </c>
      <c r="B47" t="s">
        <v>836</v>
      </c>
      <c r="C47">
        <v>2025</v>
      </c>
      <c r="D47" t="s">
        <v>837</v>
      </c>
      <c r="E47" t="s">
        <v>640</v>
      </c>
      <c r="F47" t="s">
        <v>32</v>
      </c>
      <c r="G47">
        <v>45</v>
      </c>
      <c r="H47" t="s">
        <v>838</v>
      </c>
      <c r="I47" s="29" t="e">
        <f t="shared" si="0"/>
        <v>#N/A</v>
      </c>
      <c r="J47" s="29" t="e">
        <f t="shared" si="1"/>
        <v>#N/A</v>
      </c>
      <c r="K47" s="29" t="e">
        <f t="shared" si="2"/>
        <v>#N/A</v>
      </c>
    </row>
    <row r="48" spans="1:27" ht="14" x14ac:dyDescent="0.15">
      <c r="A48" t="s">
        <v>1190</v>
      </c>
      <c r="B48" t="s">
        <v>1191</v>
      </c>
      <c r="C48">
        <v>2025</v>
      </c>
      <c r="D48" t="s">
        <v>1192</v>
      </c>
      <c r="E48" t="s">
        <v>1053</v>
      </c>
      <c r="F48" t="s">
        <v>32</v>
      </c>
      <c r="G48">
        <v>44</v>
      </c>
      <c r="H48" t="s">
        <v>1194</v>
      </c>
      <c r="I48" s="29">
        <f t="shared" si="0"/>
        <v>0.78</v>
      </c>
      <c r="J48" s="29" t="str">
        <f t="shared" si="1"/>
        <v>Q2</v>
      </c>
      <c r="K48" s="29" t="str">
        <f t="shared" si="2"/>
        <v>1999-4893</v>
      </c>
    </row>
    <row r="49" spans="1:11" ht="14" x14ac:dyDescent="0.15">
      <c r="A49" t="s">
        <v>271</v>
      </c>
      <c r="B49" t="s">
        <v>272</v>
      </c>
      <c r="C49">
        <v>2025</v>
      </c>
      <c r="D49" t="s">
        <v>25</v>
      </c>
      <c r="E49" t="s">
        <v>237</v>
      </c>
      <c r="F49" t="s">
        <v>32</v>
      </c>
      <c r="G49">
        <v>34</v>
      </c>
      <c r="H49" t="s">
        <v>274</v>
      </c>
      <c r="I49" s="29">
        <f t="shared" si="0"/>
        <v>0.9</v>
      </c>
      <c r="J49" s="29" t="str">
        <f t="shared" si="1"/>
        <v>Q1</v>
      </c>
      <c r="K49" s="29" t="str">
        <f t="shared" si="2"/>
        <v>2169-3536</v>
      </c>
    </row>
    <row r="50" spans="1:11" ht="14" x14ac:dyDescent="0.15">
      <c r="A50" t="s">
        <v>201</v>
      </c>
      <c r="B50" t="s">
        <v>202</v>
      </c>
      <c r="C50">
        <v>2022</v>
      </c>
      <c r="D50" t="s">
        <v>203</v>
      </c>
      <c r="E50" t="s">
        <v>155</v>
      </c>
      <c r="F50" t="s">
        <v>32</v>
      </c>
      <c r="G50">
        <v>33</v>
      </c>
      <c r="H50" t="s">
        <v>205</v>
      </c>
      <c r="I50" s="29" t="e">
        <f t="shared" si="0"/>
        <v>#N/A</v>
      </c>
      <c r="J50" s="29" t="e">
        <f t="shared" si="1"/>
        <v>#N/A</v>
      </c>
      <c r="K50" s="29" t="e">
        <f t="shared" si="2"/>
        <v>#N/A</v>
      </c>
    </row>
    <row r="51" spans="1:11" ht="14" x14ac:dyDescent="0.15">
      <c r="A51" t="s">
        <v>79</v>
      </c>
      <c r="B51" t="s">
        <v>80</v>
      </c>
      <c r="C51">
        <v>2021</v>
      </c>
      <c r="D51" t="s">
        <v>25</v>
      </c>
      <c r="E51" t="s">
        <v>16</v>
      </c>
      <c r="F51" t="s">
        <v>32</v>
      </c>
      <c r="G51">
        <v>32</v>
      </c>
      <c r="H51" t="s">
        <v>82</v>
      </c>
      <c r="I51" s="29">
        <f t="shared" si="0"/>
        <v>0.9</v>
      </c>
      <c r="J51" s="29" t="str">
        <f t="shared" si="1"/>
        <v>Q1</v>
      </c>
      <c r="K51" s="29" t="str">
        <f t="shared" si="2"/>
        <v>2169-3536</v>
      </c>
    </row>
    <row r="52" spans="1:11" ht="14" x14ac:dyDescent="0.15">
      <c r="A52" t="s">
        <v>1227</v>
      </c>
      <c r="B52" t="s">
        <v>1228</v>
      </c>
      <c r="C52">
        <v>2023</v>
      </c>
      <c r="D52" t="s">
        <v>126</v>
      </c>
      <c r="E52" t="s">
        <v>1053</v>
      </c>
      <c r="F52" t="s">
        <v>75</v>
      </c>
      <c r="G52">
        <v>32</v>
      </c>
      <c r="H52" t="s">
        <v>1229</v>
      </c>
      <c r="I52" s="29" t="e">
        <f t="shared" si="0"/>
        <v>#N/A</v>
      </c>
      <c r="J52" s="29" t="e">
        <f t="shared" si="1"/>
        <v>#N/A</v>
      </c>
      <c r="K52" s="29" t="e">
        <f t="shared" si="2"/>
        <v>#N/A</v>
      </c>
    </row>
    <row r="53" spans="1:11" ht="14" x14ac:dyDescent="0.15">
      <c r="A53" t="s">
        <v>173</v>
      </c>
      <c r="B53" t="s">
        <v>174</v>
      </c>
      <c r="C53">
        <v>2025</v>
      </c>
      <c r="D53" t="s">
        <v>175</v>
      </c>
      <c r="E53" t="s">
        <v>155</v>
      </c>
      <c r="F53" t="s">
        <v>32</v>
      </c>
      <c r="G53">
        <v>31</v>
      </c>
      <c r="H53" t="s">
        <v>177</v>
      </c>
      <c r="I53" s="29" t="e">
        <f t="shared" si="0"/>
        <v>#N/A</v>
      </c>
      <c r="J53" s="29" t="e">
        <f t="shared" si="1"/>
        <v>#N/A</v>
      </c>
      <c r="K53" s="29" t="e">
        <f t="shared" si="2"/>
        <v>#N/A</v>
      </c>
    </row>
    <row r="54" spans="1:11" ht="14" x14ac:dyDescent="0.15">
      <c r="A54" t="s">
        <v>1170</v>
      </c>
      <c r="B54" t="s">
        <v>1171</v>
      </c>
      <c r="C54">
        <v>2025</v>
      </c>
      <c r="D54" t="s">
        <v>1172</v>
      </c>
      <c r="E54" t="s">
        <v>1053</v>
      </c>
      <c r="F54" t="s">
        <v>17</v>
      </c>
      <c r="G54">
        <v>28</v>
      </c>
      <c r="H54" t="s">
        <v>1174</v>
      </c>
      <c r="I54" s="29" t="e">
        <f t="shared" si="0"/>
        <v>#N/A</v>
      </c>
      <c r="J54" s="29" t="e">
        <f t="shared" si="1"/>
        <v>#N/A</v>
      </c>
      <c r="K54" s="29" t="e">
        <f t="shared" si="2"/>
        <v>#N/A</v>
      </c>
    </row>
    <row r="55" spans="1:11" ht="14" x14ac:dyDescent="0.15">
      <c r="A55" t="s">
        <v>1103</v>
      </c>
      <c r="B55" t="s">
        <v>1104</v>
      </c>
      <c r="C55">
        <v>2025</v>
      </c>
      <c r="D55" t="s">
        <v>770</v>
      </c>
      <c r="E55" t="s">
        <v>1053</v>
      </c>
      <c r="F55" t="s">
        <v>75</v>
      </c>
      <c r="G55">
        <v>27</v>
      </c>
      <c r="H55" t="s">
        <v>1105</v>
      </c>
      <c r="I55" s="29" t="e">
        <f t="shared" si="0"/>
        <v>#N/A</v>
      </c>
      <c r="J55" s="29" t="e">
        <f t="shared" si="1"/>
        <v>#N/A</v>
      </c>
      <c r="K55" s="29" t="e">
        <f t="shared" si="2"/>
        <v>#N/A</v>
      </c>
    </row>
    <row r="56" spans="1:11" ht="14" x14ac:dyDescent="0.15">
      <c r="A56" t="s">
        <v>185</v>
      </c>
      <c r="B56" t="s">
        <v>186</v>
      </c>
      <c r="C56">
        <v>2023</v>
      </c>
      <c r="D56" t="s">
        <v>187</v>
      </c>
      <c r="E56" t="s">
        <v>155</v>
      </c>
      <c r="F56" t="s">
        <v>32</v>
      </c>
      <c r="G56">
        <v>24</v>
      </c>
      <c r="H56" t="s">
        <v>189</v>
      </c>
      <c r="I56" s="29" t="e">
        <f t="shared" si="0"/>
        <v>#N/A</v>
      </c>
      <c r="J56" s="29" t="e">
        <f t="shared" si="1"/>
        <v>#N/A</v>
      </c>
      <c r="K56" s="29" t="e">
        <f t="shared" si="2"/>
        <v>#N/A</v>
      </c>
    </row>
    <row r="57" spans="1:11" ht="14" x14ac:dyDescent="0.15">
      <c r="A57" t="s">
        <v>758</v>
      </c>
      <c r="B57" t="s">
        <v>759</v>
      </c>
      <c r="C57">
        <v>2025</v>
      </c>
      <c r="D57" t="s">
        <v>268</v>
      </c>
      <c r="E57" t="s">
        <v>640</v>
      </c>
      <c r="F57" t="s">
        <v>75</v>
      </c>
      <c r="G57">
        <v>24</v>
      </c>
      <c r="H57" t="s">
        <v>760</v>
      </c>
      <c r="I57" s="29">
        <f t="shared" si="0"/>
        <v>0.76</v>
      </c>
      <c r="J57" s="29" t="str">
        <f t="shared" si="1"/>
        <v>Q2</v>
      </c>
      <c r="K57" s="29" t="str">
        <f t="shared" si="2"/>
        <v>2079-9292</v>
      </c>
    </row>
    <row r="58" spans="1:11" ht="14" x14ac:dyDescent="0.15">
      <c r="A58" t="s">
        <v>1110</v>
      </c>
      <c r="B58" t="s">
        <v>1111</v>
      </c>
      <c r="C58">
        <v>2025</v>
      </c>
      <c r="D58" t="s">
        <v>1112</v>
      </c>
      <c r="E58" t="s">
        <v>1053</v>
      </c>
      <c r="F58" t="s">
        <v>17</v>
      </c>
      <c r="G58">
        <v>24</v>
      </c>
      <c r="H58" t="s">
        <v>1113</v>
      </c>
      <c r="I58" s="29" t="e">
        <f t="shared" si="0"/>
        <v>#N/A</v>
      </c>
      <c r="J58" s="29" t="e">
        <f t="shared" si="1"/>
        <v>#N/A</v>
      </c>
      <c r="K58" s="29" t="e">
        <f t="shared" si="2"/>
        <v>#N/A</v>
      </c>
    </row>
    <row r="59" spans="1:11" ht="14" x14ac:dyDescent="0.15">
      <c r="A59" t="s">
        <v>881</v>
      </c>
      <c r="B59" t="s">
        <v>882</v>
      </c>
      <c r="C59">
        <v>2024</v>
      </c>
      <c r="D59" t="s">
        <v>883</v>
      </c>
      <c r="E59" t="s">
        <v>640</v>
      </c>
      <c r="F59" t="s">
        <v>75</v>
      </c>
      <c r="G59">
        <v>22</v>
      </c>
      <c r="H59" t="s">
        <v>885</v>
      </c>
      <c r="I59" s="29" t="e">
        <f t="shared" si="0"/>
        <v>#N/A</v>
      </c>
      <c r="J59" s="29" t="e">
        <f t="shared" si="1"/>
        <v>#N/A</v>
      </c>
      <c r="K59" s="29" t="e">
        <f t="shared" si="2"/>
        <v>#N/A</v>
      </c>
    </row>
    <row r="60" spans="1:11" ht="14" x14ac:dyDescent="0.15">
      <c r="A60" t="s">
        <v>829</v>
      </c>
      <c r="B60" t="s">
        <v>830</v>
      </c>
      <c r="C60">
        <v>2025</v>
      </c>
      <c r="D60" t="s">
        <v>831</v>
      </c>
      <c r="E60" t="s">
        <v>640</v>
      </c>
      <c r="F60" t="s">
        <v>32</v>
      </c>
      <c r="G60">
        <v>21</v>
      </c>
      <c r="H60" t="s">
        <v>833</v>
      </c>
      <c r="I60" s="29">
        <f t="shared" si="0"/>
        <v>0.77</v>
      </c>
      <c r="J60" s="29" t="str">
        <f t="shared" si="1"/>
        <v>Q1</v>
      </c>
      <c r="K60" s="29" t="str">
        <f t="shared" si="2"/>
        <v>2046-1402</v>
      </c>
    </row>
    <row r="61" spans="1:11" ht="14" x14ac:dyDescent="0.15">
      <c r="A61" t="s">
        <v>124</v>
      </c>
      <c r="B61" t="s">
        <v>125</v>
      </c>
      <c r="C61">
        <v>2023</v>
      </c>
      <c r="D61" t="s">
        <v>126</v>
      </c>
      <c r="E61" t="s">
        <v>91</v>
      </c>
      <c r="F61" t="s">
        <v>75</v>
      </c>
      <c r="G61">
        <v>19</v>
      </c>
      <c r="H61" t="s">
        <v>128</v>
      </c>
      <c r="I61" s="29" t="e">
        <f t="shared" si="0"/>
        <v>#N/A</v>
      </c>
      <c r="J61" s="29" t="e">
        <f t="shared" si="1"/>
        <v>#N/A</v>
      </c>
      <c r="K61" s="29" t="e">
        <f t="shared" si="2"/>
        <v>#N/A</v>
      </c>
    </row>
    <row r="62" spans="1:11" ht="14" x14ac:dyDescent="0.15">
      <c r="A62" t="s">
        <v>604</v>
      </c>
      <c r="B62" t="s">
        <v>605</v>
      </c>
      <c r="C62">
        <v>2024</v>
      </c>
      <c r="D62" t="s">
        <v>606</v>
      </c>
      <c r="E62" t="s">
        <v>599</v>
      </c>
      <c r="F62" t="s">
        <v>75</v>
      </c>
      <c r="G62">
        <v>18</v>
      </c>
      <c r="H62" t="s">
        <v>608</v>
      </c>
      <c r="I62" s="29" t="e">
        <f t="shared" si="0"/>
        <v>#N/A</v>
      </c>
      <c r="J62" s="29" t="e">
        <f t="shared" si="1"/>
        <v>#N/A</v>
      </c>
      <c r="K62" s="29" t="e">
        <f t="shared" si="2"/>
        <v>#N/A</v>
      </c>
    </row>
    <row r="63" spans="1:11" ht="14" x14ac:dyDescent="0.15">
      <c r="A63" t="s">
        <v>481</v>
      </c>
      <c r="B63" t="s">
        <v>482</v>
      </c>
      <c r="C63">
        <v>2021</v>
      </c>
      <c r="D63" t="s">
        <v>483</v>
      </c>
      <c r="E63" t="s">
        <v>321</v>
      </c>
      <c r="F63" t="s">
        <v>75</v>
      </c>
      <c r="G63">
        <v>17</v>
      </c>
      <c r="H63" t="s">
        <v>485</v>
      </c>
      <c r="I63" s="29" t="e">
        <f t="shared" si="0"/>
        <v>#N/A</v>
      </c>
      <c r="J63" s="29" t="e">
        <f t="shared" si="1"/>
        <v>#N/A</v>
      </c>
      <c r="K63" s="29" t="e">
        <f t="shared" si="2"/>
        <v>#N/A</v>
      </c>
    </row>
    <row r="64" spans="1:11" ht="14" x14ac:dyDescent="0.15">
      <c r="A64" t="s">
        <v>788</v>
      </c>
      <c r="B64" t="s">
        <v>736</v>
      </c>
      <c r="C64">
        <v>2025</v>
      </c>
      <c r="D64" t="s">
        <v>789</v>
      </c>
      <c r="E64" t="s">
        <v>640</v>
      </c>
      <c r="F64" t="s">
        <v>17</v>
      </c>
      <c r="G64">
        <v>16</v>
      </c>
      <c r="H64" t="s">
        <v>790</v>
      </c>
      <c r="I64" s="29" t="e">
        <f t="shared" si="0"/>
        <v>#N/A</v>
      </c>
      <c r="J64" s="29" t="e">
        <f t="shared" si="1"/>
        <v>#N/A</v>
      </c>
      <c r="K64" s="29" t="e">
        <f t="shared" si="2"/>
        <v>#N/A</v>
      </c>
    </row>
    <row r="65" spans="1:11" ht="14" x14ac:dyDescent="0.15">
      <c r="A65" t="s">
        <v>768</v>
      </c>
      <c r="B65" t="s">
        <v>769</v>
      </c>
      <c r="C65">
        <v>2025</v>
      </c>
      <c r="D65" t="s">
        <v>770</v>
      </c>
      <c r="E65" t="s">
        <v>640</v>
      </c>
      <c r="F65" t="s">
        <v>75</v>
      </c>
      <c r="G65">
        <v>16</v>
      </c>
      <c r="H65" t="s">
        <v>772</v>
      </c>
      <c r="I65" s="29" t="e">
        <f t="shared" si="0"/>
        <v>#N/A</v>
      </c>
      <c r="J65" s="29" t="e">
        <f t="shared" si="1"/>
        <v>#N/A</v>
      </c>
      <c r="K65" s="29" t="e">
        <f t="shared" si="2"/>
        <v>#N/A</v>
      </c>
    </row>
    <row r="66" spans="1:11" ht="14" x14ac:dyDescent="0.15">
      <c r="A66" t="s">
        <v>1115</v>
      </c>
      <c r="B66" t="s">
        <v>1116</v>
      </c>
      <c r="C66">
        <v>2025</v>
      </c>
      <c r="D66" t="s">
        <v>25</v>
      </c>
      <c r="E66" t="s">
        <v>1053</v>
      </c>
      <c r="F66" t="s">
        <v>75</v>
      </c>
      <c r="G66">
        <v>15</v>
      </c>
      <c r="H66" t="s">
        <v>1118</v>
      </c>
      <c r="I66" s="29">
        <f t="shared" si="0"/>
        <v>0.9</v>
      </c>
      <c r="J66" s="29" t="str">
        <f t="shared" si="1"/>
        <v>Q1</v>
      </c>
      <c r="K66" s="29" t="str">
        <f t="shared" si="2"/>
        <v>2169-3536</v>
      </c>
    </row>
    <row r="67" spans="1:11" ht="14" x14ac:dyDescent="0.15">
      <c r="A67" t="s">
        <v>1128</v>
      </c>
      <c r="B67" t="s">
        <v>830</v>
      </c>
      <c r="C67">
        <v>2025</v>
      </c>
      <c r="D67" t="s">
        <v>831</v>
      </c>
      <c r="E67" t="s">
        <v>1053</v>
      </c>
      <c r="F67" t="s">
        <v>17</v>
      </c>
      <c r="G67">
        <v>13</v>
      </c>
      <c r="H67" t="s">
        <v>1129</v>
      </c>
      <c r="I67" s="29">
        <f t="shared" ref="I67:I94" si="4">VLOOKUP($D67,P:U,4,FALSE)</f>
        <v>0.77</v>
      </c>
      <c r="J67" s="29" t="str">
        <f t="shared" ref="J67:J94" si="5">VLOOKUP($D67,P:U,5,FALSE)</f>
        <v>Q1</v>
      </c>
      <c r="K67" s="29" t="str">
        <f t="shared" ref="K67:K94" si="6">VLOOKUP($D67,P:U,6,FALSE)</f>
        <v>2046-1402</v>
      </c>
    </row>
    <row r="68" spans="1:11" ht="14" x14ac:dyDescent="0.15">
      <c r="A68" t="s">
        <v>412</v>
      </c>
      <c r="B68" t="s">
        <v>413</v>
      </c>
      <c r="C68">
        <v>2023</v>
      </c>
      <c r="D68" t="s">
        <v>414</v>
      </c>
      <c r="E68" t="s">
        <v>321</v>
      </c>
      <c r="F68" t="s">
        <v>75</v>
      </c>
      <c r="G68">
        <v>12</v>
      </c>
      <c r="H68" t="s">
        <v>416</v>
      </c>
      <c r="I68" s="29" t="e">
        <f t="shared" si="4"/>
        <v>#N/A</v>
      </c>
      <c r="J68" s="29" t="e">
        <f t="shared" si="5"/>
        <v>#N/A</v>
      </c>
      <c r="K68" s="29" t="e">
        <f t="shared" si="6"/>
        <v>#N/A</v>
      </c>
    </row>
    <row r="69" spans="1:11" ht="14" x14ac:dyDescent="0.15">
      <c r="A69" t="s">
        <v>748</v>
      </c>
      <c r="B69" t="s">
        <v>749</v>
      </c>
      <c r="C69">
        <v>2025</v>
      </c>
      <c r="D69" t="s">
        <v>25</v>
      </c>
      <c r="E69" t="s">
        <v>640</v>
      </c>
      <c r="F69" t="s">
        <v>75</v>
      </c>
      <c r="G69">
        <v>12</v>
      </c>
      <c r="H69" t="s">
        <v>750</v>
      </c>
      <c r="I69" s="29">
        <f t="shared" si="4"/>
        <v>0.9</v>
      </c>
      <c r="J69" s="29" t="str">
        <f t="shared" si="5"/>
        <v>Q1</v>
      </c>
      <c r="K69" s="29" t="str">
        <f t="shared" si="6"/>
        <v>2169-3536</v>
      </c>
    </row>
    <row r="70" spans="1:11" ht="14" x14ac:dyDescent="0.15">
      <c r="A70" t="s">
        <v>740</v>
      </c>
      <c r="B70" t="s">
        <v>741</v>
      </c>
      <c r="C70">
        <v>2025</v>
      </c>
      <c r="D70" t="s">
        <v>742</v>
      </c>
      <c r="E70" t="s">
        <v>640</v>
      </c>
      <c r="F70" t="s">
        <v>17</v>
      </c>
      <c r="G70">
        <v>11</v>
      </c>
      <c r="H70" t="s">
        <v>743</v>
      </c>
      <c r="I70" s="29" t="e">
        <f t="shared" si="4"/>
        <v>#N/A</v>
      </c>
      <c r="J70" s="29" t="e">
        <f t="shared" si="5"/>
        <v>#N/A</v>
      </c>
      <c r="K70" s="29" t="e">
        <f t="shared" si="6"/>
        <v>#N/A</v>
      </c>
    </row>
    <row r="71" spans="1:11" ht="14" x14ac:dyDescent="0.15">
      <c r="A71" t="s">
        <v>1158</v>
      </c>
      <c r="B71" t="s">
        <v>1159</v>
      </c>
      <c r="C71">
        <v>2025</v>
      </c>
      <c r="D71" t="s">
        <v>420</v>
      </c>
      <c r="E71" t="s">
        <v>1053</v>
      </c>
      <c r="F71" t="s">
        <v>75</v>
      </c>
      <c r="G71">
        <v>11</v>
      </c>
      <c r="H71" t="s">
        <v>1160</v>
      </c>
      <c r="I71" s="29" t="e">
        <f t="shared" si="4"/>
        <v>#N/A</v>
      </c>
      <c r="J71" s="29" t="e">
        <f t="shared" si="5"/>
        <v>#N/A</v>
      </c>
      <c r="K71" s="29" t="e">
        <f t="shared" si="6"/>
        <v>#N/A</v>
      </c>
    </row>
    <row r="72" spans="1:11" ht="14" x14ac:dyDescent="0.15">
      <c r="A72" t="s">
        <v>84</v>
      </c>
      <c r="B72" t="s">
        <v>85</v>
      </c>
      <c r="C72">
        <v>2020</v>
      </c>
      <c r="D72" t="s">
        <v>25</v>
      </c>
      <c r="E72" t="s">
        <v>16</v>
      </c>
      <c r="F72" t="s">
        <v>32</v>
      </c>
      <c r="G72">
        <v>10</v>
      </c>
      <c r="H72" t="s">
        <v>87</v>
      </c>
      <c r="I72" s="29">
        <f t="shared" si="4"/>
        <v>0.9</v>
      </c>
      <c r="J72" s="29" t="str">
        <f t="shared" si="5"/>
        <v>Q1</v>
      </c>
      <c r="K72" s="29" t="str">
        <f t="shared" si="6"/>
        <v>2169-3536</v>
      </c>
    </row>
    <row r="73" spans="1:11" ht="14" x14ac:dyDescent="0.15">
      <c r="A73" t="s">
        <v>735</v>
      </c>
      <c r="B73" t="s">
        <v>736</v>
      </c>
      <c r="C73">
        <v>2025</v>
      </c>
      <c r="D73" t="s">
        <v>737</v>
      </c>
      <c r="E73" t="s">
        <v>640</v>
      </c>
      <c r="F73" t="s">
        <v>75</v>
      </c>
      <c r="G73">
        <v>10</v>
      </c>
      <c r="H73" t="s">
        <v>738</v>
      </c>
      <c r="I73" s="29" t="e">
        <f t="shared" si="4"/>
        <v>#N/A</v>
      </c>
      <c r="J73" s="29" t="e">
        <f t="shared" si="5"/>
        <v>#N/A</v>
      </c>
      <c r="K73" s="29" t="e">
        <f t="shared" si="6"/>
        <v>#N/A</v>
      </c>
    </row>
    <row r="74" spans="1:11" ht="14" x14ac:dyDescent="0.15">
      <c r="A74" t="s">
        <v>68</v>
      </c>
      <c r="B74" t="s">
        <v>69</v>
      </c>
      <c r="C74">
        <v>2024</v>
      </c>
      <c r="D74" t="s">
        <v>25</v>
      </c>
      <c r="E74" t="s">
        <v>16</v>
      </c>
      <c r="F74" t="s">
        <v>32</v>
      </c>
      <c r="G74">
        <v>9</v>
      </c>
      <c r="H74" t="s">
        <v>71</v>
      </c>
      <c r="I74" s="29">
        <f t="shared" si="4"/>
        <v>0.9</v>
      </c>
      <c r="J74" s="29" t="str">
        <f t="shared" si="5"/>
        <v>Q1</v>
      </c>
      <c r="K74" s="29" t="str">
        <f t="shared" si="6"/>
        <v>2169-3536</v>
      </c>
    </row>
    <row r="75" spans="1:11" ht="14" x14ac:dyDescent="0.15">
      <c r="A75" t="s">
        <v>1231</v>
      </c>
      <c r="B75" t="s">
        <v>1232</v>
      </c>
      <c r="C75">
        <v>2023</v>
      </c>
      <c r="D75" t="s">
        <v>1233</v>
      </c>
      <c r="E75" t="s">
        <v>1053</v>
      </c>
      <c r="F75" t="s">
        <v>32</v>
      </c>
      <c r="G75">
        <v>9</v>
      </c>
      <c r="H75" t="s">
        <v>1234</v>
      </c>
      <c r="I75" s="29" t="e">
        <f t="shared" si="4"/>
        <v>#N/A</v>
      </c>
      <c r="J75" s="29" t="e">
        <f t="shared" si="5"/>
        <v>#N/A</v>
      </c>
      <c r="K75" s="29" t="e">
        <f t="shared" si="6"/>
        <v>#N/A</v>
      </c>
    </row>
    <row r="76" spans="1:11" ht="14" x14ac:dyDescent="0.15">
      <c r="A76" t="s">
        <v>23</v>
      </c>
      <c r="B76" t="s">
        <v>24</v>
      </c>
      <c r="C76">
        <v>2026</v>
      </c>
      <c r="D76" t="s">
        <v>25</v>
      </c>
      <c r="E76" t="s">
        <v>16</v>
      </c>
      <c r="F76" t="s">
        <v>17</v>
      </c>
      <c r="G76">
        <v>7</v>
      </c>
      <c r="H76" t="s">
        <v>27</v>
      </c>
      <c r="I76" s="29">
        <f t="shared" si="4"/>
        <v>0.9</v>
      </c>
      <c r="J76" s="29" t="str">
        <f t="shared" si="5"/>
        <v>Q1</v>
      </c>
      <c r="K76" s="29" t="str">
        <f t="shared" si="6"/>
        <v>2169-3536</v>
      </c>
    </row>
    <row r="77" spans="1:11" ht="14" x14ac:dyDescent="0.15">
      <c r="A77" t="s">
        <v>292</v>
      </c>
      <c r="B77" t="s">
        <v>293</v>
      </c>
      <c r="C77">
        <v>2023</v>
      </c>
      <c r="D77" t="s">
        <v>294</v>
      </c>
      <c r="E77" t="s">
        <v>237</v>
      </c>
      <c r="F77" t="s">
        <v>75</v>
      </c>
      <c r="G77">
        <v>7</v>
      </c>
      <c r="H77" t="s">
        <v>295</v>
      </c>
      <c r="I77" s="29" t="e">
        <f t="shared" si="4"/>
        <v>#N/A</v>
      </c>
      <c r="J77" s="29" t="e">
        <f t="shared" si="5"/>
        <v>#N/A</v>
      </c>
      <c r="K77" s="29" t="e">
        <f t="shared" si="6"/>
        <v>#N/A</v>
      </c>
    </row>
    <row r="78" spans="1:11" ht="14" x14ac:dyDescent="0.15">
      <c r="A78" t="s">
        <v>796</v>
      </c>
      <c r="B78" t="s">
        <v>797</v>
      </c>
      <c r="C78">
        <v>2025</v>
      </c>
      <c r="D78" t="s">
        <v>549</v>
      </c>
      <c r="E78" t="s">
        <v>640</v>
      </c>
      <c r="F78" t="s">
        <v>32</v>
      </c>
      <c r="G78">
        <v>7</v>
      </c>
      <c r="H78" t="s">
        <v>798</v>
      </c>
      <c r="I78" s="29">
        <f t="shared" si="4"/>
        <v>0.9</v>
      </c>
      <c r="J78" s="29" t="str">
        <f t="shared" si="5"/>
        <v>Q1</v>
      </c>
      <c r="K78" s="29" t="str">
        <f t="shared" si="6"/>
        <v>1939-1374</v>
      </c>
    </row>
    <row r="79" spans="1:11" ht="14" x14ac:dyDescent="0.15">
      <c r="A79" t="s">
        <v>1185</v>
      </c>
      <c r="B79" t="s">
        <v>1186</v>
      </c>
      <c r="C79">
        <v>2025</v>
      </c>
      <c r="D79" t="s">
        <v>1187</v>
      </c>
      <c r="E79" t="s">
        <v>1053</v>
      </c>
      <c r="F79" t="s">
        <v>32</v>
      </c>
      <c r="G79">
        <v>7</v>
      </c>
      <c r="H79" t="s">
        <v>1188</v>
      </c>
      <c r="I79" s="29" t="e">
        <f t="shared" si="4"/>
        <v>#N/A</v>
      </c>
      <c r="J79" s="29" t="e">
        <f t="shared" si="5"/>
        <v>#N/A</v>
      </c>
      <c r="K79" s="29" t="e">
        <f t="shared" si="6"/>
        <v>#N/A</v>
      </c>
    </row>
    <row r="80" spans="1:11" ht="14" x14ac:dyDescent="0.15">
      <c r="A80" t="s">
        <v>167</v>
      </c>
      <c r="B80" t="s">
        <v>168</v>
      </c>
      <c r="C80">
        <v>2025</v>
      </c>
      <c r="D80" t="s">
        <v>169</v>
      </c>
      <c r="E80" t="s">
        <v>155</v>
      </c>
      <c r="F80" t="s">
        <v>32</v>
      </c>
      <c r="G80">
        <v>6</v>
      </c>
      <c r="H80" t="s">
        <v>171</v>
      </c>
      <c r="I80" s="29" t="e">
        <f t="shared" si="4"/>
        <v>#N/A</v>
      </c>
      <c r="J80" s="29" t="e">
        <f t="shared" si="5"/>
        <v>#N/A</v>
      </c>
      <c r="K80" s="29" t="e">
        <f t="shared" si="6"/>
        <v>#N/A</v>
      </c>
    </row>
    <row r="81" spans="1:11" ht="14" x14ac:dyDescent="0.15">
      <c r="A81" t="s">
        <v>439</v>
      </c>
      <c r="B81" t="s">
        <v>440</v>
      </c>
      <c r="C81">
        <v>2022</v>
      </c>
      <c r="D81" t="s">
        <v>441</v>
      </c>
      <c r="E81" t="s">
        <v>321</v>
      </c>
      <c r="F81" t="s">
        <v>75</v>
      </c>
      <c r="G81">
        <v>6</v>
      </c>
      <c r="H81" t="s">
        <v>442</v>
      </c>
      <c r="I81" s="29" t="e">
        <f t="shared" si="4"/>
        <v>#N/A</v>
      </c>
      <c r="J81" s="29" t="e">
        <f t="shared" si="5"/>
        <v>#N/A</v>
      </c>
      <c r="K81" s="29" t="e">
        <f t="shared" si="6"/>
        <v>#N/A</v>
      </c>
    </row>
    <row r="82" spans="1:11" ht="14" x14ac:dyDescent="0.15">
      <c r="A82" t="s">
        <v>1020</v>
      </c>
      <c r="B82" t="s">
        <v>1021</v>
      </c>
      <c r="C82">
        <v>2023</v>
      </c>
      <c r="D82" t="s">
        <v>1022</v>
      </c>
      <c r="E82" t="s">
        <v>957</v>
      </c>
      <c r="F82" t="s">
        <v>75</v>
      </c>
      <c r="G82">
        <v>6</v>
      </c>
      <c r="H82" t="s">
        <v>1023</v>
      </c>
      <c r="I82" s="29" t="e">
        <f t="shared" si="4"/>
        <v>#N/A</v>
      </c>
      <c r="J82" s="29" t="e">
        <f t="shared" si="5"/>
        <v>#N/A</v>
      </c>
      <c r="K82" s="29" t="e">
        <f t="shared" si="6"/>
        <v>#N/A</v>
      </c>
    </row>
    <row r="83" spans="1:11" ht="14" x14ac:dyDescent="0.15">
      <c r="A83" t="s">
        <v>986</v>
      </c>
      <c r="B83" t="s">
        <v>987</v>
      </c>
      <c r="C83">
        <v>2025</v>
      </c>
      <c r="D83" t="s">
        <v>988</v>
      </c>
      <c r="E83" t="s">
        <v>957</v>
      </c>
      <c r="F83" t="s">
        <v>75</v>
      </c>
      <c r="G83">
        <v>4</v>
      </c>
      <c r="H83" t="s">
        <v>989</v>
      </c>
      <c r="I83" s="29" t="e">
        <f t="shared" si="4"/>
        <v>#N/A</v>
      </c>
      <c r="J83" s="29" t="e">
        <f t="shared" si="5"/>
        <v>#N/A</v>
      </c>
      <c r="K83" s="29" t="e">
        <f t="shared" si="6"/>
        <v>#N/A</v>
      </c>
    </row>
    <row r="84" spans="1:11" ht="14" x14ac:dyDescent="0.15">
      <c r="A84" t="s">
        <v>43</v>
      </c>
      <c r="B84" t="s">
        <v>44</v>
      </c>
      <c r="C84">
        <v>2025</v>
      </c>
      <c r="D84" t="s">
        <v>25</v>
      </c>
      <c r="E84" t="s">
        <v>16</v>
      </c>
      <c r="F84" t="s">
        <v>32</v>
      </c>
      <c r="G84">
        <v>3</v>
      </c>
      <c r="H84" t="s">
        <v>46</v>
      </c>
      <c r="I84" s="29">
        <f t="shared" si="4"/>
        <v>0.9</v>
      </c>
      <c r="J84" s="29" t="str">
        <f t="shared" si="5"/>
        <v>Q1</v>
      </c>
      <c r="K84" s="29" t="str">
        <f t="shared" si="6"/>
        <v>2169-3536</v>
      </c>
    </row>
    <row r="85" spans="1:11" ht="14" x14ac:dyDescent="0.15">
      <c r="A85" t="s">
        <v>620</v>
      </c>
      <c r="B85" t="s">
        <v>621</v>
      </c>
      <c r="C85">
        <v>2022</v>
      </c>
      <c r="D85" t="s">
        <v>622</v>
      </c>
      <c r="E85" t="s">
        <v>599</v>
      </c>
      <c r="F85" t="s">
        <v>32</v>
      </c>
      <c r="G85">
        <v>3</v>
      </c>
      <c r="H85" t="s">
        <v>623</v>
      </c>
      <c r="I85" s="29" t="e">
        <f t="shared" si="4"/>
        <v>#N/A</v>
      </c>
      <c r="J85" s="29" t="e">
        <f t="shared" si="5"/>
        <v>#N/A</v>
      </c>
      <c r="K85" s="29" t="e">
        <f t="shared" si="6"/>
        <v>#N/A</v>
      </c>
    </row>
    <row r="86" spans="1:11" ht="14" x14ac:dyDescent="0.15">
      <c r="A86" t="s">
        <v>657</v>
      </c>
      <c r="B86" t="s">
        <v>658</v>
      </c>
      <c r="C86">
        <v>2026</v>
      </c>
      <c r="D86" t="s">
        <v>659</v>
      </c>
      <c r="E86" t="s">
        <v>640</v>
      </c>
      <c r="F86" t="s">
        <v>75</v>
      </c>
      <c r="G86">
        <v>1</v>
      </c>
      <c r="H86" t="s">
        <v>661</v>
      </c>
      <c r="I86" s="29" t="e">
        <f t="shared" si="4"/>
        <v>#N/A</v>
      </c>
      <c r="J86" s="29" t="e">
        <f t="shared" si="5"/>
        <v>#N/A</v>
      </c>
      <c r="K86" s="29" t="e">
        <f t="shared" si="6"/>
        <v>#N/A</v>
      </c>
    </row>
    <row r="87" spans="1:11" ht="14" x14ac:dyDescent="0.15">
      <c r="A87" t="s">
        <v>60</v>
      </c>
      <c r="B87" t="s">
        <v>61</v>
      </c>
      <c r="C87">
        <v>2025</v>
      </c>
      <c r="D87" t="s">
        <v>25</v>
      </c>
      <c r="E87" t="s">
        <v>16</v>
      </c>
      <c r="F87" t="s">
        <v>32</v>
      </c>
      <c r="G87">
        <v>0</v>
      </c>
      <c r="H87" t="s">
        <v>63</v>
      </c>
      <c r="I87" s="29">
        <f t="shared" si="4"/>
        <v>0.9</v>
      </c>
      <c r="J87" s="29" t="str">
        <f t="shared" si="5"/>
        <v>Q1</v>
      </c>
      <c r="K87" s="29" t="str">
        <f t="shared" si="6"/>
        <v>2169-3536</v>
      </c>
    </row>
    <row r="88" spans="1:11" ht="14" x14ac:dyDescent="0.15">
      <c r="A88" t="s">
        <v>266</v>
      </c>
      <c r="B88" t="s">
        <v>267</v>
      </c>
      <c r="C88">
        <v>2025</v>
      </c>
      <c r="D88" t="s">
        <v>268</v>
      </c>
      <c r="E88" t="s">
        <v>237</v>
      </c>
      <c r="F88" t="s">
        <v>32</v>
      </c>
      <c r="G88">
        <v>0</v>
      </c>
      <c r="H88" t="s">
        <v>269</v>
      </c>
      <c r="I88" s="29">
        <f t="shared" si="4"/>
        <v>0.76</v>
      </c>
      <c r="J88" s="29" t="str">
        <f t="shared" si="5"/>
        <v>Q2</v>
      </c>
      <c r="K88" s="29" t="str">
        <f t="shared" si="6"/>
        <v>2079-9292</v>
      </c>
    </row>
    <row r="89" spans="1:11" ht="14" x14ac:dyDescent="0.15">
      <c r="A89" t="s">
        <v>1003</v>
      </c>
      <c r="B89" t="s">
        <v>1004</v>
      </c>
      <c r="C89">
        <v>2025</v>
      </c>
      <c r="D89" t="s">
        <v>549</v>
      </c>
      <c r="E89" t="s">
        <v>957</v>
      </c>
      <c r="F89" t="s">
        <v>32</v>
      </c>
      <c r="G89">
        <v>0</v>
      </c>
      <c r="H89" t="s">
        <v>1005</v>
      </c>
      <c r="I89" s="29">
        <f t="shared" si="4"/>
        <v>0.9</v>
      </c>
      <c r="J89" s="29" t="str">
        <f t="shared" si="5"/>
        <v>Q1</v>
      </c>
      <c r="K89" s="29" t="str">
        <f t="shared" si="6"/>
        <v>1939-1374</v>
      </c>
    </row>
    <row r="90" spans="1:11" ht="14" x14ac:dyDescent="0.15">
      <c r="A90" t="s">
        <v>103</v>
      </c>
      <c r="B90" t="s">
        <v>104</v>
      </c>
      <c r="C90">
        <v>2026</v>
      </c>
      <c r="D90" t="s">
        <v>105</v>
      </c>
      <c r="E90" t="s">
        <v>91</v>
      </c>
      <c r="F90" t="s">
        <v>32</v>
      </c>
      <c r="H90" t="s">
        <v>106</v>
      </c>
      <c r="I90" s="29" t="e">
        <f t="shared" si="4"/>
        <v>#N/A</v>
      </c>
      <c r="J90" s="29" t="e">
        <f t="shared" si="5"/>
        <v>#N/A</v>
      </c>
      <c r="K90" s="29" t="e">
        <f t="shared" si="6"/>
        <v>#N/A</v>
      </c>
    </row>
    <row r="91" spans="1:11" ht="14" x14ac:dyDescent="0.15">
      <c r="A91" t="s">
        <v>210</v>
      </c>
      <c r="B91" t="s">
        <v>211</v>
      </c>
      <c r="C91">
        <v>2021</v>
      </c>
      <c r="D91" t="s">
        <v>212</v>
      </c>
      <c r="E91" t="s">
        <v>155</v>
      </c>
      <c r="F91" t="s">
        <v>32</v>
      </c>
      <c r="H91" t="s">
        <v>213</v>
      </c>
      <c r="I91" s="29" t="e">
        <f t="shared" si="4"/>
        <v>#N/A</v>
      </c>
      <c r="J91" s="29" t="e">
        <f t="shared" si="5"/>
        <v>#N/A</v>
      </c>
      <c r="K91" s="29" t="e">
        <f t="shared" si="6"/>
        <v>#N/A</v>
      </c>
    </row>
    <row r="92" spans="1:11" ht="14" x14ac:dyDescent="0.15">
      <c r="A92" t="s">
        <v>215</v>
      </c>
      <c r="B92" t="s">
        <v>216</v>
      </c>
      <c r="C92">
        <v>2020</v>
      </c>
      <c r="D92" t="s">
        <v>217</v>
      </c>
      <c r="E92" t="s">
        <v>155</v>
      </c>
      <c r="F92" t="s">
        <v>75</v>
      </c>
      <c r="H92" t="s">
        <v>218</v>
      </c>
      <c r="I92" s="29" t="e">
        <f t="shared" si="4"/>
        <v>#N/A</v>
      </c>
      <c r="J92" s="29" t="e">
        <f t="shared" si="5"/>
        <v>#N/A</v>
      </c>
      <c r="K92" s="29" t="e">
        <f t="shared" si="6"/>
        <v>#N/A</v>
      </c>
    </row>
    <row r="93" spans="1:11" ht="14" x14ac:dyDescent="0.15">
      <c r="A93" t="s">
        <v>341</v>
      </c>
      <c r="B93" t="s">
        <v>342</v>
      </c>
      <c r="C93">
        <v>2025</v>
      </c>
      <c r="D93" t="s">
        <v>343</v>
      </c>
      <c r="E93" t="s">
        <v>321</v>
      </c>
      <c r="F93" t="s">
        <v>75</v>
      </c>
      <c r="H93" t="s">
        <v>344</v>
      </c>
      <c r="I93" s="29" t="e">
        <f t="shared" si="4"/>
        <v>#N/A</v>
      </c>
      <c r="J93" s="29" t="e">
        <f t="shared" si="5"/>
        <v>#N/A</v>
      </c>
      <c r="K93" s="29" t="e">
        <f t="shared" si="6"/>
        <v>#N/A</v>
      </c>
    </row>
    <row r="94" spans="1:11" ht="14" x14ac:dyDescent="0.15">
      <c r="A94" t="s">
        <v>940</v>
      </c>
      <c r="B94" t="s">
        <v>941</v>
      </c>
      <c r="C94">
        <v>2023</v>
      </c>
      <c r="D94" t="s">
        <v>942</v>
      </c>
      <c r="E94" t="s">
        <v>640</v>
      </c>
      <c r="F94" t="s">
        <v>32</v>
      </c>
      <c r="H94" t="s">
        <v>943</v>
      </c>
      <c r="I94" s="29" t="e">
        <f t="shared" si="4"/>
        <v>#N/A</v>
      </c>
      <c r="J94" s="29" t="e">
        <f t="shared" si="5"/>
        <v>#N/A</v>
      </c>
      <c r="K94" s="29" t="e">
        <f t="shared" si="6"/>
        <v>#N/A</v>
      </c>
    </row>
  </sheetData>
  <sortState xmlns:xlrd2="http://schemas.microsoft.com/office/spreadsheetml/2017/richdata2" ref="A2:H94">
    <sortCondition descending="1" ref="G2:G94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557B9-685F-F247-8077-D955CAEA9A21}">
  <dimension ref="A2:B14"/>
  <sheetViews>
    <sheetView workbookViewId="0">
      <selection activeCell="B14" sqref="B14"/>
    </sheetView>
  </sheetViews>
  <sheetFormatPr baseColWidth="10" defaultRowHeight="13" x14ac:dyDescent="0.15"/>
  <cols>
    <col min="1" max="1" width="20.1640625" bestFit="1" customWidth="1"/>
    <col min="2" max="2" width="10" bestFit="1" customWidth="1"/>
  </cols>
  <sheetData>
    <row r="2" spans="1:2" ht="28" x14ac:dyDescent="0.15">
      <c r="A2" s="21" t="s">
        <v>4</v>
      </c>
      <c r="B2" s="22" t="s">
        <v>1391</v>
      </c>
    </row>
    <row r="4" spans="1:2" ht="28" x14ac:dyDescent="0.15">
      <c r="A4" s="13" t="s">
        <v>1388</v>
      </c>
      <c r="B4" s="14" t="s">
        <v>1390</v>
      </c>
    </row>
    <row r="5" spans="1:2" ht="14" x14ac:dyDescent="0.15">
      <c r="A5" s="15" t="s">
        <v>16</v>
      </c>
      <c r="B5" s="16">
        <v>9</v>
      </c>
    </row>
    <row r="6" spans="1:2" ht="14" x14ac:dyDescent="0.15">
      <c r="A6" s="17" t="s">
        <v>91</v>
      </c>
      <c r="B6" s="18">
        <v>4</v>
      </c>
    </row>
    <row r="7" spans="1:2" ht="14" x14ac:dyDescent="0.15">
      <c r="A7" s="17" t="s">
        <v>155</v>
      </c>
      <c r="B7" s="18">
        <v>8</v>
      </c>
    </row>
    <row r="8" spans="1:2" ht="14" x14ac:dyDescent="0.15">
      <c r="A8" s="17" t="s">
        <v>237</v>
      </c>
      <c r="B8" s="18">
        <v>5</v>
      </c>
    </row>
    <row r="9" spans="1:2" ht="14" x14ac:dyDescent="0.15">
      <c r="A9" s="17" t="s">
        <v>321</v>
      </c>
      <c r="B9" s="18">
        <v>29</v>
      </c>
    </row>
    <row r="10" spans="1:2" ht="14" x14ac:dyDescent="0.15">
      <c r="A10" s="17" t="s">
        <v>599</v>
      </c>
      <c r="B10" s="18">
        <v>7</v>
      </c>
    </row>
    <row r="11" spans="1:2" ht="14" x14ac:dyDescent="0.15">
      <c r="A11" s="17" t="s">
        <v>640</v>
      </c>
      <c r="B11" s="18">
        <v>16</v>
      </c>
    </row>
    <row r="12" spans="1:2" ht="14" x14ac:dyDescent="0.15">
      <c r="A12" s="17" t="s">
        <v>957</v>
      </c>
      <c r="B12" s="18">
        <v>4</v>
      </c>
    </row>
    <row r="13" spans="1:2" ht="14" x14ac:dyDescent="0.15">
      <c r="A13" s="17" t="s">
        <v>1053</v>
      </c>
      <c r="B13" s="18">
        <v>19</v>
      </c>
    </row>
    <row r="14" spans="1:2" ht="14" x14ac:dyDescent="0.15">
      <c r="A14" s="19" t="s">
        <v>1389</v>
      </c>
      <c r="B14" s="20">
        <v>101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342"/>
  <sheetViews>
    <sheetView showGridLines="0" workbookViewId="0">
      <selection activeCell="A2" sqref="A2:L342"/>
    </sheetView>
  </sheetViews>
  <sheetFormatPr baseColWidth="10" defaultColWidth="8.33203125" defaultRowHeight="20" customHeight="1" x14ac:dyDescent="0.15"/>
  <cols>
    <col min="1" max="1" width="134.5" style="1" customWidth="1"/>
    <col min="2" max="2" width="110.33203125" style="1" customWidth="1"/>
    <col min="3" max="3" width="5.1640625" style="1" customWidth="1"/>
    <col min="4" max="4" width="57.33203125" style="1" customWidth="1"/>
    <col min="5" max="5" width="20.33203125" style="1" customWidth="1"/>
    <col min="6" max="6" width="21.33203125" style="1" customWidth="1"/>
    <col min="7" max="7" width="8.33203125" style="1" customWidth="1"/>
    <col min="8" max="8" width="25.83203125" style="1" customWidth="1"/>
    <col min="9" max="9" width="18.1640625" style="1" customWidth="1"/>
    <col min="10" max="10" width="15.1640625" style="1" customWidth="1"/>
    <col min="11" max="11" width="11.1640625" style="1" customWidth="1"/>
    <col min="12" max="13" width="8.33203125" style="1" customWidth="1"/>
    <col min="14" max="16384" width="8.33203125" style="1"/>
  </cols>
  <sheetData>
    <row r="1" spans="1:12" ht="27.75" customHeight="1" x14ac:dyDescent="0.15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</row>
    <row r="2" spans="1:12" ht="20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12" ht="20.25" customHeight="1" x14ac:dyDescent="0.15">
      <c r="A3" s="3" t="s">
        <v>13</v>
      </c>
      <c r="B3" s="4" t="s">
        <v>14</v>
      </c>
      <c r="C3" s="5">
        <v>2026</v>
      </c>
      <c r="D3" s="6" t="s">
        <v>15</v>
      </c>
      <c r="E3" s="6" t="s">
        <v>16</v>
      </c>
      <c r="F3" s="6" t="s">
        <v>17</v>
      </c>
      <c r="G3" s="7"/>
      <c r="H3" s="7"/>
      <c r="I3" s="6" t="s">
        <v>18</v>
      </c>
      <c r="J3" s="5">
        <v>0</v>
      </c>
      <c r="K3" s="5">
        <v>0</v>
      </c>
      <c r="L3" s="6" t="s">
        <v>19</v>
      </c>
    </row>
    <row r="4" spans="1:12" ht="20" customHeight="1" x14ac:dyDescent="0.15">
      <c r="A4" s="8" t="s">
        <v>20</v>
      </c>
      <c r="B4" s="9" t="s">
        <v>21</v>
      </c>
      <c r="C4" s="10">
        <v>2026</v>
      </c>
      <c r="D4" s="11" t="s">
        <v>15</v>
      </c>
      <c r="E4" s="11" t="s">
        <v>16</v>
      </c>
      <c r="F4" s="11" t="s">
        <v>17</v>
      </c>
      <c r="G4" s="12"/>
      <c r="H4" s="12"/>
      <c r="I4" s="11" t="s">
        <v>22</v>
      </c>
      <c r="J4" s="10">
        <v>0</v>
      </c>
      <c r="K4" s="10">
        <v>0</v>
      </c>
      <c r="L4" s="11" t="s">
        <v>19</v>
      </c>
    </row>
    <row r="5" spans="1:12" ht="20" customHeight="1" x14ac:dyDescent="0.15">
      <c r="A5" s="8" t="s">
        <v>23</v>
      </c>
      <c r="B5" s="9" t="s">
        <v>24</v>
      </c>
      <c r="C5" s="10">
        <v>2026</v>
      </c>
      <c r="D5" s="11" t="s">
        <v>25</v>
      </c>
      <c r="E5" s="11" t="s">
        <v>16</v>
      </c>
      <c r="F5" s="11" t="s">
        <v>17</v>
      </c>
      <c r="G5" s="11" t="s">
        <v>26</v>
      </c>
      <c r="H5" s="11" t="s">
        <v>27</v>
      </c>
      <c r="I5" s="11" t="s">
        <v>28</v>
      </c>
      <c r="J5" s="10">
        <v>0</v>
      </c>
      <c r="K5" s="10">
        <v>0</v>
      </c>
      <c r="L5" s="11" t="s">
        <v>29</v>
      </c>
    </row>
    <row r="6" spans="1:12" ht="20" customHeight="1" x14ac:dyDescent="0.15">
      <c r="A6" s="8" t="s">
        <v>30</v>
      </c>
      <c r="B6" s="9" t="s">
        <v>31</v>
      </c>
      <c r="C6" s="10">
        <v>2026</v>
      </c>
      <c r="D6" s="11" t="s">
        <v>15</v>
      </c>
      <c r="E6" s="11" t="s">
        <v>16</v>
      </c>
      <c r="F6" s="11" t="s">
        <v>32</v>
      </c>
      <c r="G6" s="12"/>
      <c r="H6" s="12"/>
      <c r="I6" s="11" t="s">
        <v>33</v>
      </c>
      <c r="J6" s="10">
        <v>0</v>
      </c>
      <c r="K6" s="10">
        <v>0</v>
      </c>
      <c r="L6" s="11" t="s">
        <v>19</v>
      </c>
    </row>
    <row r="7" spans="1:12" ht="20" customHeight="1" x14ac:dyDescent="0.15">
      <c r="A7" s="8" t="s">
        <v>34</v>
      </c>
      <c r="B7" s="9" t="s">
        <v>35</v>
      </c>
      <c r="C7" s="10">
        <v>2025</v>
      </c>
      <c r="D7" s="11" t="s">
        <v>15</v>
      </c>
      <c r="E7" s="11" t="s">
        <v>16</v>
      </c>
      <c r="F7" s="11" t="s">
        <v>17</v>
      </c>
      <c r="G7" s="12"/>
      <c r="H7" s="12"/>
      <c r="I7" s="11" t="s">
        <v>36</v>
      </c>
      <c r="J7" s="10">
        <v>0</v>
      </c>
      <c r="K7" s="10">
        <v>0</v>
      </c>
      <c r="L7" s="11" t="s">
        <v>19</v>
      </c>
    </row>
    <row r="8" spans="1:12" ht="20" customHeight="1" x14ac:dyDescent="0.15">
      <c r="A8" s="8" t="s">
        <v>37</v>
      </c>
      <c r="B8" s="9" t="s">
        <v>38</v>
      </c>
      <c r="C8" s="10">
        <v>2025</v>
      </c>
      <c r="D8" s="11" t="s">
        <v>39</v>
      </c>
      <c r="E8" s="11" t="s">
        <v>16</v>
      </c>
      <c r="F8" s="11" t="s">
        <v>17</v>
      </c>
      <c r="G8" s="11" t="s">
        <v>40</v>
      </c>
      <c r="H8" s="11" t="s">
        <v>41</v>
      </c>
      <c r="I8" s="11" t="s">
        <v>42</v>
      </c>
      <c r="J8" s="10">
        <v>1</v>
      </c>
      <c r="K8" s="10">
        <v>0</v>
      </c>
      <c r="L8" s="11" t="s">
        <v>29</v>
      </c>
    </row>
    <row r="9" spans="1:12" ht="20" customHeight="1" x14ac:dyDescent="0.15">
      <c r="A9" s="8" t="s">
        <v>43</v>
      </c>
      <c r="B9" s="9" t="s">
        <v>44</v>
      </c>
      <c r="C9" s="10">
        <v>2025</v>
      </c>
      <c r="D9" s="11" t="s">
        <v>25</v>
      </c>
      <c r="E9" s="11" t="s">
        <v>16</v>
      </c>
      <c r="F9" s="11" t="s">
        <v>32</v>
      </c>
      <c r="G9" s="11" t="s">
        <v>45</v>
      </c>
      <c r="H9" s="11" t="s">
        <v>46</v>
      </c>
      <c r="I9" s="11" t="s">
        <v>47</v>
      </c>
      <c r="J9" s="10">
        <v>0</v>
      </c>
      <c r="K9" s="10">
        <v>0</v>
      </c>
      <c r="L9" s="11" t="s">
        <v>29</v>
      </c>
    </row>
    <row r="10" spans="1:12" ht="20" customHeight="1" x14ac:dyDescent="0.15">
      <c r="A10" s="8" t="s">
        <v>48</v>
      </c>
      <c r="B10" s="9" t="s">
        <v>49</v>
      </c>
      <c r="C10" s="10">
        <v>2025</v>
      </c>
      <c r="D10" s="11" t="s">
        <v>50</v>
      </c>
      <c r="E10" s="11" t="s">
        <v>16</v>
      </c>
      <c r="F10" s="11" t="s">
        <v>32</v>
      </c>
      <c r="G10" s="11" t="s">
        <v>51</v>
      </c>
      <c r="H10" s="11" t="s">
        <v>52</v>
      </c>
      <c r="I10" s="11" t="s">
        <v>53</v>
      </c>
      <c r="J10" s="10">
        <v>1</v>
      </c>
      <c r="K10" s="10">
        <v>0</v>
      </c>
      <c r="L10" s="11" t="s">
        <v>29</v>
      </c>
    </row>
    <row r="11" spans="1:12" ht="20" customHeight="1" x14ac:dyDescent="0.15">
      <c r="A11" s="8" t="s">
        <v>54</v>
      </c>
      <c r="B11" s="9" t="s">
        <v>55</v>
      </c>
      <c r="C11" s="10">
        <v>2025</v>
      </c>
      <c r="D11" s="11" t="s">
        <v>56</v>
      </c>
      <c r="E11" s="11" t="s">
        <v>16</v>
      </c>
      <c r="F11" s="11" t="s">
        <v>32</v>
      </c>
      <c r="G11" s="11" t="s">
        <v>57</v>
      </c>
      <c r="H11" s="11" t="s">
        <v>58</v>
      </c>
      <c r="I11" s="11" t="s">
        <v>59</v>
      </c>
      <c r="J11" s="10">
        <v>1</v>
      </c>
      <c r="K11" s="10">
        <v>0</v>
      </c>
      <c r="L11" s="11" t="s">
        <v>29</v>
      </c>
    </row>
    <row r="12" spans="1:12" ht="20" customHeight="1" x14ac:dyDescent="0.15">
      <c r="A12" s="8" t="s">
        <v>60</v>
      </c>
      <c r="B12" s="9" t="s">
        <v>61</v>
      </c>
      <c r="C12" s="10">
        <v>2025</v>
      </c>
      <c r="D12" s="11" t="s">
        <v>25</v>
      </c>
      <c r="E12" s="11" t="s">
        <v>16</v>
      </c>
      <c r="F12" s="11" t="s">
        <v>32</v>
      </c>
      <c r="G12" s="11" t="s">
        <v>62</v>
      </c>
      <c r="H12" s="11" t="s">
        <v>63</v>
      </c>
      <c r="I12" s="11" t="s">
        <v>64</v>
      </c>
      <c r="J12" s="10">
        <v>1</v>
      </c>
      <c r="K12" s="10">
        <v>0</v>
      </c>
      <c r="L12" s="11" t="s">
        <v>29</v>
      </c>
    </row>
    <row r="13" spans="1:12" ht="20" customHeight="1" x14ac:dyDescent="0.15">
      <c r="A13" s="8" t="s">
        <v>65</v>
      </c>
      <c r="B13" s="9" t="s">
        <v>66</v>
      </c>
      <c r="C13" s="10">
        <v>2024</v>
      </c>
      <c r="D13" s="11" t="s">
        <v>15</v>
      </c>
      <c r="E13" s="11" t="s">
        <v>16</v>
      </c>
      <c r="F13" s="11" t="s">
        <v>17</v>
      </c>
      <c r="G13" s="12"/>
      <c r="H13" s="12"/>
      <c r="I13" s="11" t="s">
        <v>67</v>
      </c>
      <c r="J13" s="10">
        <v>0</v>
      </c>
      <c r="K13" s="10">
        <v>0</v>
      </c>
      <c r="L13" s="11" t="s">
        <v>19</v>
      </c>
    </row>
    <row r="14" spans="1:12" ht="20" customHeight="1" x14ac:dyDescent="0.15">
      <c r="A14" s="8" t="s">
        <v>68</v>
      </c>
      <c r="B14" s="9" t="s">
        <v>69</v>
      </c>
      <c r="C14" s="10">
        <v>2024</v>
      </c>
      <c r="D14" s="11" t="s">
        <v>25</v>
      </c>
      <c r="E14" s="11" t="s">
        <v>16</v>
      </c>
      <c r="F14" s="11" t="s">
        <v>32</v>
      </c>
      <c r="G14" s="11" t="s">
        <v>70</v>
      </c>
      <c r="H14" s="11" t="s">
        <v>71</v>
      </c>
      <c r="I14" s="11" t="s">
        <v>72</v>
      </c>
      <c r="J14" s="10">
        <v>1</v>
      </c>
      <c r="K14" s="10">
        <v>0</v>
      </c>
      <c r="L14" s="11" t="s">
        <v>29</v>
      </c>
    </row>
    <row r="15" spans="1:12" ht="20" customHeight="1" x14ac:dyDescent="0.15">
      <c r="A15" s="8" t="s">
        <v>73</v>
      </c>
      <c r="B15" s="9" t="s">
        <v>74</v>
      </c>
      <c r="C15" s="10">
        <v>2024</v>
      </c>
      <c r="D15" s="12"/>
      <c r="E15" s="11" t="s">
        <v>16</v>
      </c>
      <c r="F15" s="11" t="s">
        <v>75</v>
      </c>
      <c r="G15" s="11" t="s">
        <v>76</v>
      </c>
      <c r="H15" s="11" t="s">
        <v>77</v>
      </c>
      <c r="I15" s="12"/>
      <c r="J15" s="10">
        <v>0</v>
      </c>
      <c r="K15" s="10">
        <v>1</v>
      </c>
      <c r="L15" s="11" t="s">
        <v>78</v>
      </c>
    </row>
    <row r="16" spans="1:12" ht="20" customHeight="1" x14ac:dyDescent="0.15">
      <c r="A16" s="8" t="s">
        <v>79</v>
      </c>
      <c r="B16" s="9" t="s">
        <v>80</v>
      </c>
      <c r="C16" s="10">
        <v>2021</v>
      </c>
      <c r="D16" s="11" t="s">
        <v>25</v>
      </c>
      <c r="E16" s="11" t="s">
        <v>16</v>
      </c>
      <c r="F16" s="11" t="s">
        <v>32</v>
      </c>
      <c r="G16" s="11" t="s">
        <v>81</v>
      </c>
      <c r="H16" s="11" t="s">
        <v>82</v>
      </c>
      <c r="I16" s="11" t="s">
        <v>83</v>
      </c>
      <c r="J16" s="10">
        <v>1</v>
      </c>
      <c r="K16" s="10">
        <v>0</v>
      </c>
      <c r="L16" s="11" t="s">
        <v>29</v>
      </c>
    </row>
    <row r="17" spans="1:12" ht="20" customHeight="1" x14ac:dyDescent="0.15">
      <c r="A17" s="8" t="s">
        <v>84</v>
      </c>
      <c r="B17" s="9" t="s">
        <v>85</v>
      </c>
      <c r="C17" s="10">
        <v>2020</v>
      </c>
      <c r="D17" s="11" t="s">
        <v>25</v>
      </c>
      <c r="E17" s="11" t="s">
        <v>16</v>
      </c>
      <c r="F17" s="11" t="s">
        <v>32</v>
      </c>
      <c r="G17" s="11" t="s">
        <v>86</v>
      </c>
      <c r="H17" s="11" t="s">
        <v>87</v>
      </c>
      <c r="I17" s="11" t="s">
        <v>88</v>
      </c>
      <c r="J17" s="10">
        <v>1</v>
      </c>
      <c r="K17" s="10">
        <v>0</v>
      </c>
      <c r="L17" s="11" t="s">
        <v>29</v>
      </c>
    </row>
    <row r="18" spans="1:12" ht="20" customHeight="1" x14ac:dyDescent="0.15">
      <c r="A18" s="8" t="s">
        <v>89</v>
      </c>
      <c r="B18" s="9" t="s">
        <v>90</v>
      </c>
      <c r="C18" s="10">
        <v>2026</v>
      </c>
      <c r="D18" s="11" t="s">
        <v>15</v>
      </c>
      <c r="E18" s="11" t="s">
        <v>91</v>
      </c>
      <c r="F18" s="11" t="s">
        <v>75</v>
      </c>
      <c r="G18" s="12"/>
      <c r="H18" s="12"/>
      <c r="I18" s="11" t="s">
        <v>92</v>
      </c>
      <c r="J18" s="10">
        <v>0</v>
      </c>
      <c r="K18" s="10">
        <v>0</v>
      </c>
      <c r="L18" s="11" t="s">
        <v>19</v>
      </c>
    </row>
    <row r="19" spans="1:12" ht="20" customHeight="1" x14ac:dyDescent="0.15">
      <c r="A19" s="8" t="s">
        <v>93</v>
      </c>
      <c r="B19" s="9" t="s">
        <v>94</v>
      </c>
      <c r="C19" s="10">
        <v>2026</v>
      </c>
      <c r="D19" s="11" t="s">
        <v>15</v>
      </c>
      <c r="E19" s="11" t="s">
        <v>91</v>
      </c>
      <c r="F19" s="11" t="s">
        <v>75</v>
      </c>
      <c r="G19" s="12"/>
      <c r="H19" s="12"/>
      <c r="I19" s="11" t="s">
        <v>95</v>
      </c>
      <c r="J19" s="10">
        <v>0</v>
      </c>
      <c r="K19" s="10">
        <v>0</v>
      </c>
      <c r="L19" s="11" t="s">
        <v>19</v>
      </c>
    </row>
    <row r="20" spans="1:12" ht="20" customHeight="1" x14ac:dyDescent="0.15">
      <c r="A20" s="8" t="s">
        <v>96</v>
      </c>
      <c r="B20" s="9" t="s">
        <v>97</v>
      </c>
      <c r="C20" s="10">
        <v>2026</v>
      </c>
      <c r="D20" s="11" t="s">
        <v>15</v>
      </c>
      <c r="E20" s="11" t="s">
        <v>91</v>
      </c>
      <c r="F20" s="11" t="s">
        <v>75</v>
      </c>
      <c r="G20" s="12"/>
      <c r="H20" s="12"/>
      <c r="I20" s="11" t="s">
        <v>98</v>
      </c>
      <c r="J20" s="10">
        <v>0</v>
      </c>
      <c r="K20" s="10">
        <v>0</v>
      </c>
      <c r="L20" s="11" t="s">
        <v>19</v>
      </c>
    </row>
    <row r="21" spans="1:12" ht="20" customHeight="1" x14ac:dyDescent="0.15">
      <c r="A21" s="8" t="s">
        <v>99</v>
      </c>
      <c r="B21" s="9" t="s">
        <v>100</v>
      </c>
      <c r="C21" s="10">
        <v>2026</v>
      </c>
      <c r="D21" s="11" t="s">
        <v>15</v>
      </c>
      <c r="E21" s="11" t="s">
        <v>91</v>
      </c>
      <c r="F21" s="11" t="s">
        <v>32</v>
      </c>
      <c r="G21" s="12"/>
      <c r="H21" s="11" t="s">
        <v>101</v>
      </c>
      <c r="I21" s="11" t="s">
        <v>102</v>
      </c>
      <c r="J21" s="10">
        <v>0</v>
      </c>
      <c r="K21" s="10">
        <v>0</v>
      </c>
      <c r="L21" s="11" t="s">
        <v>19</v>
      </c>
    </row>
    <row r="22" spans="1:12" ht="20" customHeight="1" x14ac:dyDescent="0.15">
      <c r="A22" s="8" t="s">
        <v>103</v>
      </c>
      <c r="B22" s="9" t="s">
        <v>104</v>
      </c>
      <c r="C22" s="10">
        <v>2026</v>
      </c>
      <c r="D22" s="11" t="s">
        <v>105</v>
      </c>
      <c r="E22" s="11" t="s">
        <v>91</v>
      </c>
      <c r="F22" s="11" t="s">
        <v>32</v>
      </c>
      <c r="G22" s="12"/>
      <c r="H22" s="11" t="s">
        <v>106</v>
      </c>
      <c r="I22" s="11" t="s">
        <v>107</v>
      </c>
      <c r="J22" s="10">
        <v>0</v>
      </c>
      <c r="K22" s="10">
        <v>0</v>
      </c>
      <c r="L22" s="11" t="s">
        <v>19</v>
      </c>
    </row>
    <row r="23" spans="1:12" ht="20" customHeight="1" x14ac:dyDescent="0.15">
      <c r="A23" s="8" t="s">
        <v>108</v>
      </c>
      <c r="B23" s="9" t="s">
        <v>109</v>
      </c>
      <c r="C23" s="10">
        <v>2026</v>
      </c>
      <c r="D23" s="11" t="s">
        <v>15</v>
      </c>
      <c r="E23" s="11" t="s">
        <v>91</v>
      </c>
      <c r="F23" s="11" t="s">
        <v>32</v>
      </c>
      <c r="G23" s="12"/>
      <c r="H23" s="12"/>
      <c r="I23" s="11" t="s">
        <v>110</v>
      </c>
      <c r="J23" s="10">
        <v>0</v>
      </c>
      <c r="K23" s="10">
        <v>0</v>
      </c>
      <c r="L23" s="11" t="s">
        <v>19</v>
      </c>
    </row>
    <row r="24" spans="1:12" ht="20" customHeight="1" x14ac:dyDescent="0.15">
      <c r="A24" s="8" t="s">
        <v>111</v>
      </c>
      <c r="B24" s="9" t="s">
        <v>112</v>
      </c>
      <c r="C24" s="10">
        <v>2025</v>
      </c>
      <c r="D24" s="11" t="s">
        <v>15</v>
      </c>
      <c r="E24" s="11" t="s">
        <v>91</v>
      </c>
      <c r="F24" s="11" t="s">
        <v>75</v>
      </c>
      <c r="G24" s="12"/>
      <c r="H24" s="12"/>
      <c r="I24" s="11" t="s">
        <v>113</v>
      </c>
      <c r="J24" s="10">
        <v>0</v>
      </c>
      <c r="K24" s="10">
        <v>0</v>
      </c>
      <c r="L24" s="11" t="s">
        <v>19</v>
      </c>
    </row>
    <row r="25" spans="1:12" ht="20" customHeight="1" x14ac:dyDescent="0.15">
      <c r="A25" s="8" t="s">
        <v>114</v>
      </c>
      <c r="B25" s="9" t="s">
        <v>115</v>
      </c>
      <c r="C25" s="10">
        <v>2025</v>
      </c>
      <c r="D25" s="11" t="s">
        <v>15</v>
      </c>
      <c r="E25" s="11" t="s">
        <v>91</v>
      </c>
      <c r="F25" s="11" t="s">
        <v>32</v>
      </c>
      <c r="G25" s="12"/>
      <c r="H25" s="12"/>
      <c r="I25" s="11" t="s">
        <v>116</v>
      </c>
      <c r="J25" s="10">
        <v>0</v>
      </c>
      <c r="K25" s="10">
        <v>0</v>
      </c>
      <c r="L25" s="11" t="s">
        <v>19</v>
      </c>
    </row>
    <row r="26" spans="1:12" ht="20" customHeight="1" x14ac:dyDescent="0.15">
      <c r="A26" s="8" t="s">
        <v>117</v>
      </c>
      <c r="B26" s="9" t="s">
        <v>118</v>
      </c>
      <c r="C26" s="10">
        <v>2025</v>
      </c>
      <c r="D26" s="11" t="s">
        <v>15</v>
      </c>
      <c r="E26" s="11" t="s">
        <v>91</v>
      </c>
      <c r="F26" s="11" t="s">
        <v>32</v>
      </c>
      <c r="G26" s="12"/>
      <c r="H26" s="12"/>
      <c r="I26" s="11" t="s">
        <v>119</v>
      </c>
      <c r="J26" s="10">
        <v>0</v>
      </c>
      <c r="K26" s="10">
        <v>0</v>
      </c>
      <c r="L26" s="11" t="s">
        <v>19</v>
      </c>
    </row>
    <row r="27" spans="1:12" ht="20" customHeight="1" x14ac:dyDescent="0.15">
      <c r="A27" s="8" t="s">
        <v>120</v>
      </c>
      <c r="B27" s="9" t="s">
        <v>121</v>
      </c>
      <c r="C27" s="10">
        <v>2024</v>
      </c>
      <c r="D27" s="12"/>
      <c r="E27" s="11" t="s">
        <v>91</v>
      </c>
      <c r="F27" s="11" t="s">
        <v>75</v>
      </c>
      <c r="G27" s="11" t="s">
        <v>122</v>
      </c>
      <c r="H27" s="11" t="s">
        <v>123</v>
      </c>
      <c r="I27" s="12"/>
      <c r="J27" s="10">
        <v>0</v>
      </c>
      <c r="K27" s="10">
        <v>1</v>
      </c>
      <c r="L27" s="11" t="s">
        <v>78</v>
      </c>
    </row>
    <row r="28" spans="1:12" ht="20" customHeight="1" x14ac:dyDescent="0.15">
      <c r="A28" s="8" t="s">
        <v>124</v>
      </c>
      <c r="B28" s="9" t="s">
        <v>125</v>
      </c>
      <c r="C28" s="10">
        <v>2023</v>
      </c>
      <c r="D28" s="11" t="s">
        <v>126</v>
      </c>
      <c r="E28" s="11" t="s">
        <v>91</v>
      </c>
      <c r="F28" s="11" t="s">
        <v>75</v>
      </c>
      <c r="G28" s="11" t="s">
        <v>127</v>
      </c>
      <c r="H28" s="11" t="s">
        <v>128</v>
      </c>
      <c r="I28" s="11" t="s">
        <v>129</v>
      </c>
      <c r="J28" s="10">
        <v>0</v>
      </c>
      <c r="K28" s="10">
        <v>0</v>
      </c>
      <c r="L28" s="11" t="s">
        <v>29</v>
      </c>
    </row>
    <row r="29" spans="1:12" ht="20" customHeight="1" x14ac:dyDescent="0.15">
      <c r="A29" s="8" t="s">
        <v>130</v>
      </c>
      <c r="B29" s="9" t="s">
        <v>131</v>
      </c>
      <c r="C29" s="10">
        <v>2023</v>
      </c>
      <c r="D29" s="11" t="s">
        <v>126</v>
      </c>
      <c r="E29" s="11" t="s">
        <v>91</v>
      </c>
      <c r="F29" s="11" t="s">
        <v>75</v>
      </c>
      <c r="G29" s="11" t="s">
        <v>132</v>
      </c>
      <c r="H29" s="11" t="s">
        <v>133</v>
      </c>
      <c r="I29" s="11" t="s">
        <v>134</v>
      </c>
      <c r="J29" s="10">
        <v>0</v>
      </c>
      <c r="K29" s="10">
        <v>0</v>
      </c>
      <c r="L29" s="11" t="s">
        <v>29</v>
      </c>
    </row>
    <row r="30" spans="1:12" ht="20" customHeight="1" x14ac:dyDescent="0.15">
      <c r="A30" s="8" t="s">
        <v>135</v>
      </c>
      <c r="B30" s="9" t="s">
        <v>136</v>
      </c>
      <c r="C30" s="10">
        <v>2023</v>
      </c>
      <c r="D30" s="11" t="s">
        <v>15</v>
      </c>
      <c r="E30" s="11" t="s">
        <v>91</v>
      </c>
      <c r="F30" s="11" t="s">
        <v>32</v>
      </c>
      <c r="G30" s="12"/>
      <c r="H30" s="12"/>
      <c r="I30" s="11" t="s">
        <v>137</v>
      </c>
      <c r="J30" s="10">
        <v>0</v>
      </c>
      <c r="K30" s="10">
        <v>0</v>
      </c>
      <c r="L30" s="11" t="s">
        <v>19</v>
      </c>
    </row>
    <row r="31" spans="1:12" ht="20" customHeight="1" x14ac:dyDescent="0.15">
      <c r="A31" s="8" t="s">
        <v>138</v>
      </c>
      <c r="B31" s="9" t="s">
        <v>139</v>
      </c>
      <c r="C31" s="10">
        <v>2023</v>
      </c>
      <c r="D31" s="11" t="s">
        <v>15</v>
      </c>
      <c r="E31" s="11" t="s">
        <v>91</v>
      </c>
      <c r="F31" s="11" t="s">
        <v>32</v>
      </c>
      <c r="G31" s="12"/>
      <c r="H31" s="12"/>
      <c r="I31" s="11" t="s">
        <v>140</v>
      </c>
      <c r="J31" s="10">
        <v>0</v>
      </c>
      <c r="K31" s="10">
        <v>0</v>
      </c>
      <c r="L31" s="11" t="s">
        <v>19</v>
      </c>
    </row>
    <row r="32" spans="1:12" ht="20" customHeight="1" x14ac:dyDescent="0.15">
      <c r="A32" s="8" t="s">
        <v>141</v>
      </c>
      <c r="B32" s="9" t="s">
        <v>142</v>
      </c>
      <c r="C32" s="10">
        <v>2021</v>
      </c>
      <c r="D32" s="11" t="s">
        <v>143</v>
      </c>
      <c r="E32" s="11" t="s">
        <v>91</v>
      </c>
      <c r="F32" s="11" t="s">
        <v>32</v>
      </c>
      <c r="G32" s="11" t="s">
        <v>144</v>
      </c>
      <c r="H32" s="11" t="s">
        <v>145</v>
      </c>
      <c r="I32" s="11" t="s">
        <v>146</v>
      </c>
      <c r="J32" s="10">
        <v>0</v>
      </c>
      <c r="K32" s="10">
        <v>0</v>
      </c>
      <c r="L32" s="11" t="s">
        <v>29</v>
      </c>
    </row>
    <row r="33" spans="1:12" ht="20" customHeight="1" x14ac:dyDescent="0.15">
      <c r="A33" s="8" t="s">
        <v>147</v>
      </c>
      <c r="B33" s="9" t="s">
        <v>148</v>
      </c>
      <c r="C33" s="10">
        <v>2021</v>
      </c>
      <c r="D33" s="11" t="s">
        <v>15</v>
      </c>
      <c r="E33" s="11" t="s">
        <v>91</v>
      </c>
      <c r="F33" s="11" t="s">
        <v>32</v>
      </c>
      <c r="G33" s="12"/>
      <c r="H33" s="12"/>
      <c r="I33" s="11" t="s">
        <v>149</v>
      </c>
      <c r="J33" s="10">
        <v>0</v>
      </c>
      <c r="K33" s="10">
        <v>0</v>
      </c>
      <c r="L33" s="11" t="s">
        <v>19</v>
      </c>
    </row>
    <row r="34" spans="1:12" ht="20" customHeight="1" x14ac:dyDescent="0.15">
      <c r="A34" s="8" t="s">
        <v>150</v>
      </c>
      <c r="B34" s="9" t="s">
        <v>151</v>
      </c>
      <c r="C34" s="10">
        <v>2020</v>
      </c>
      <c r="D34" s="11" t="s">
        <v>15</v>
      </c>
      <c r="E34" s="11" t="s">
        <v>91</v>
      </c>
      <c r="F34" s="11" t="s">
        <v>75</v>
      </c>
      <c r="G34" s="12"/>
      <c r="H34" s="12"/>
      <c r="I34" s="11" t="s">
        <v>152</v>
      </c>
      <c r="J34" s="10">
        <v>0</v>
      </c>
      <c r="K34" s="10">
        <v>0</v>
      </c>
      <c r="L34" s="11" t="s">
        <v>19</v>
      </c>
    </row>
    <row r="35" spans="1:12" ht="20" customHeight="1" x14ac:dyDescent="0.15">
      <c r="A35" s="8" t="s">
        <v>153</v>
      </c>
      <c r="B35" s="9" t="s">
        <v>154</v>
      </c>
      <c r="C35" s="10">
        <v>2026</v>
      </c>
      <c r="D35" s="11" t="s">
        <v>15</v>
      </c>
      <c r="E35" s="11" t="s">
        <v>155</v>
      </c>
      <c r="F35" s="11" t="s">
        <v>32</v>
      </c>
      <c r="G35" s="12"/>
      <c r="H35" s="12"/>
      <c r="I35" s="11" t="s">
        <v>156</v>
      </c>
      <c r="J35" s="10">
        <v>0</v>
      </c>
      <c r="K35" s="10">
        <v>0</v>
      </c>
      <c r="L35" s="11" t="s">
        <v>19</v>
      </c>
    </row>
    <row r="36" spans="1:12" ht="20" customHeight="1" x14ac:dyDescent="0.15">
      <c r="A36" s="8" t="s">
        <v>157</v>
      </c>
      <c r="B36" s="9" t="s">
        <v>158</v>
      </c>
      <c r="C36" s="10">
        <v>2026</v>
      </c>
      <c r="D36" s="11" t="s">
        <v>15</v>
      </c>
      <c r="E36" s="11" t="s">
        <v>155</v>
      </c>
      <c r="F36" s="11" t="s">
        <v>32</v>
      </c>
      <c r="G36" s="12"/>
      <c r="H36" s="12"/>
      <c r="I36" s="11" t="s">
        <v>159</v>
      </c>
      <c r="J36" s="10">
        <v>0</v>
      </c>
      <c r="K36" s="10">
        <v>0</v>
      </c>
      <c r="L36" s="11" t="s">
        <v>19</v>
      </c>
    </row>
    <row r="37" spans="1:12" ht="20" customHeight="1" x14ac:dyDescent="0.15">
      <c r="A37" s="8" t="s">
        <v>160</v>
      </c>
      <c r="B37" s="9" t="s">
        <v>161</v>
      </c>
      <c r="C37" s="10">
        <v>2026</v>
      </c>
      <c r="D37" s="11" t="s">
        <v>15</v>
      </c>
      <c r="E37" s="11" t="s">
        <v>155</v>
      </c>
      <c r="F37" s="11" t="s">
        <v>32</v>
      </c>
      <c r="G37" s="12"/>
      <c r="H37" s="12"/>
      <c r="I37" s="11" t="s">
        <v>162</v>
      </c>
      <c r="J37" s="10">
        <v>0</v>
      </c>
      <c r="K37" s="10">
        <v>0</v>
      </c>
      <c r="L37" s="11" t="s">
        <v>19</v>
      </c>
    </row>
    <row r="38" spans="1:12" ht="20" customHeight="1" x14ac:dyDescent="0.15">
      <c r="A38" s="8" t="s">
        <v>163</v>
      </c>
      <c r="B38" s="9" t="s">
        <v>164</v>
      </c>
      <c r="C38" s="10">
        <v>2025</v>
      </c>
      <c r="D38" s="11" t="s">
        <v>15</v>
      </c>
      <c r="E38" s="11" t="s">
        <v>155</v>
      </c>
      <c r="F38" s="11" t="s">
        <v>75</v>
      </c>
      <c r="G38" s="12"/>
      <c r="H38" s="11" t="s">
        <v>165</v>
      </c>
      <c r="I38" s="11" t="s">
        <v>166</v>
      </c>
      <c r="J38" s="10">
        <v>0</v>
      </c>
      <c r="K38" s="10">
        <v>0</v>
      </c>
      <c r="L38" s="11" t="s">
        <v>19</v>
      </c>
    </row>
    <row r="39" spans="1:12" ht="20" customHeight="1" x14ac:dyDescent="0.15">
      <c r="A39" s="8" t="s">
        <v>167</v>
      </c>
      <c r="B39" s="9" t="s">
        <v>168</v>
      </c>
      <c r="C39" s="10">
        <v>2025</v>
      </c>
      <c r="D39" s="11" t="s">
        <v>169</v>
      </c>
      <c r="E39" s="11" t="s">
        <v>155</v>
      </c>
      <c r="F39" s="11" t="s">
        <v>32</v>
      </c>
      <c r="G39" s="11" t="s">
        <v>170</v>
      </c>
      <c r="H39" s="11" t="s">
        <v>171</v>
      </c>
      <c r="I39" s="11" t="s">
        <v>172</v>
      </c>
      <c r="J39" s="10">
        <v>0</v>
      </c>
      <c r="K39" s="10">
        <v>0</v>
      </c>
      <c r="L39" s="11" t="s">
        <v>29</v>
      </c>
    </row>
    <row r="40" spans="1:12" ht="20" customHeight="1" x14ac:dyDescent="0.15">
      <c r="A40" s="8" t="s">
        <v>173</v>
      </c>
      <c r="B40" s="9" t="s">
        <v>174</v>
      </c>
      <c r="C40" s="10">
        <v>2025</v>
      </c>
      <c r="D40" s="11" t="s">
        <v>175</v>
      </c>
      <c r="E40" s="11" t="s">
        <v>155</v>
      </c>
      <c r="F40" s="11" t="s">
        <v>32</v>
      </c>
      <c r="G40" s="11" t="s">
        <v>176</v>
      </c>
      <c r="H40" s="11" t="s">
        <v>177</v>
      </c>
      <c r="I40" s="11" t="s">
        <v>178</v>
      </c>
      <c r="J40" s="10">
        <v>0</v>
      </c>
      <c r="K40" s="10">
        <v>0</v>
      </c>
      <c r="L40" s="11" t="s">
        <v>29</v>
      </c>
    </row>
    <row r="41" spans="1:12" ht="20" customHeight="1" x14ac:dyDescent="0.15">
      <c r="A41" s="8" t="s">
        <v>179</v>
      </c>
      <c r="B41" s="9" t="s">
        <v>180</v>
      </c>
      <c r="C41" s="10">
        <v>2025</v>
      </c>
      <c r="D41" s="11" t="s">
        <v>15</v>
      </c>
      <c r="E41" s="11" t="s">
        <v>155</v>
      </c>
      <c r="F41" s="11" t="s">
        <v>32</v>
      </c>
      <c r="G41" s="12"/>
      <c r="H41" s="12"/>
      <c r="I41" s="11" t="s">
        <v>181</v>
      </c>
      <c r="J41" s="10">
        <v>0</v>
      </c>
      <c r="K41" s="10">
        <v>0</v>
      </c>
      <c r="L41" s="11" t="s">
        <v>19</v>
      </c>
    </row>
    <row r="42" spans="1:12" ht="20" customHeight="1" x14ac:dyDescent="0.15">
      <c r="A42" s="8" t="s">
        <v>182</v>
      </c>
      <c r="B42" s="9" t="s">
        <v>183</v>
      </c>
      <c r="C42" s="10">
        <v>2024</v>
      </c>
      <c r="D42" s="11" t="s">
        <v>15</v>
      </c>
      <c r="E42" s="11" t="s">
        <v>155</v>
      </c>
      <c r="F42" s="11" t="s">
        <v>32</v>
      </c>
      <c r="G42" s="12"/>
      <c r="H42" s="12"/>
      <c r="I42" s="11" t="s">
        <v>184</v>
      </c>
      <c r="J42" s="10">
        <v>0</v>
      </c>
      <c r="K42" s="10">
        <v>0</v>
      </c>
      <c r="L42" s="11" t="s">
        <v>19</v>
      </c>
    </row>
    <row r="43" spans="1:12" ht="20" customHeight="1" x14ac:dyDescent="0.15">
      <c r="A43" s="8" t="s">
        <v>185</v>
      </c>
      <c r="B43" s="9" t="s">
        <v>186</v>
      </c>
      <c r="C43" s="10">
        <v>2023</v>
      </c>
      <c r="D43" s="11" t="s">
        <v>187</v>
      </c>
      <c r="E43" s="11" t="s">
        <v>155</v>
      </c>
      <c r="F43" s="11" t="s">
        <v>32</v>
      </c>
      <c r="G43" s="11" t="s">
        <v>188</v>
      </c>
      <c r="H43" s="11" t="s">
        <v>189</v>
      </c>
      <c r="I43" s="11" t="s">
        <v>190</v>
      </c>
      <c r="J43" s="10">
        <v>0</v>
      </c>
      <c r="K43" s="10">
        <v>0</v>
      </c>
      <c r="L43" s="11" t="s">
        <v>29</v>
      </c>
    </row>
    <row r="44" spans="1:12" ht="20" customHeight="1" x14ac:dyDescent="0.15">
      <c r="A44" s="8" t="s">
        <v>191</v>
      </c>
      <c r="B44" s="9" t="s">
        <v>192</v>
      </c>
      <c r="C44" s="10">
        <v>2023</v>
      </c>
      <c r="D44" s="11" t="s">
        <v>193</v>
      </c>
      <c r="E44" s="11" t="s">
        <v>155</v>
      </c>
      <c r="F44" s="11" t="s">
        <v>32</v>
      </c>
      <c r="G44" s="11" t="s">
        <v>194</v>
      </c>
      <c r="H44" s="11" t="s">
        <v>195</v>
      </c>
      <c r="I44" s="11" t="s">
        <v>196</v>
      </c>
      <c r="J44" s="10">
        <v>0</v>
      </c>
      <c r="K44" s="10">
        <v>0</v>
      </c>
      <c r="L44" s="11" t="s">
        <v>29</v>
      </c>
    </row>
    <row r="45" spans="1:12" ht="20" customHeight="1" x14ac:dyDescent="0.15">
      <c r="A45" s="8" t="s">
        <v>197</v>
      </c>
      <c r="B45" s="9" t="s">
        <v>198</v>
      </c>
      <c r="C45" s="10">
        <v>2022</v>
      </c>
      <c r="D45" s="11" t="s">
        <v>15</v>
      </c>
      <c r="E45" s="11" t="s">
        <v>155</v>
      </c>
      <c r="F45" s="11" t="s">
        <v>32</v>
      </c>
      <c r="G45" s="12"/>
      <c r="H45" s="11" t="s">
        <v>199</v>
      </c>
      <c r="I45" s="11" t="s">
        <v>200</v>
      </c>
      <c r="J45" s="10">
        <v>0</v>
      </c>
      <c r="K45" s="10">
        <v>0</v>
      </c>
      <c r="L45" s="11" t="s">
        <v>19</v>
      </c>
    </row>
    <row r="46" spans="1:12" ht="20" customHeight="1" x14ac:dyDescent="0.15">
      <c r="A46" s="8" t="s">
        <v>201</v>
      </c>
      <c r="B46" s="9" t="s">
        <v>202</v>
      </c>
      <c r="C46" s="10">
        <v>2022</v>
      </c>
      <c r="D46" s="11" t="s">
        <v>203</v>
      </c>
      <c r="E46" s="11" t="s">
        <v>155</v>
      </c>
      <c r="F46" s="11" t="s">
        <v>32</v>
      </c>
      <c r="G46" s="11" t="s">
        <v>204</v>
      </c>
      <c r="H46" s="11" t="s">
        <v>205</v>
      </c>
      <c r="I46" s="11" t="s">
        <v>206</v>
      </c>
      <c r="J46" s="10">
        <v>0</v>
      </c>
      <c r="K46" s="10">
        <v>0</v>
      </c>
      <c r="L46" s="11" t="s">
        <v>29</v>
      </c>
    </row>
    <row r="47" spans="1:12" ht="20" customHeight="1" x14ac:dyDescent="0.15">
      <c r="A47" s="8" t="s">
        <v>207</v>
      </c>
      <c r="B47" s="9" t="s">
        <v>208</v>
      </c>
      <c r="C47" s="10">
        <v>2022</v>
      </c>
      <c r="D47" s="11" t="s">
        <v>15</v>
      </c>
      <c r="E47" s="11" t="s">
        <v>155</v>
      </c>
      <c r="F47" s="11" t="s">
        <v>32</v>
      </c>
      <c r="G47" s="12"/>
      <c r="H47" s="12"/>
      <c r="I47" s="11" t="s">
        <v>209</v>
      </c>
      <c r="J47" s="10">
        <v>0</v>
      </c>
      <c r="K47" s="10">
        <v>0</v>
      </c>
      <c r="L47" s="11" t="s">
        <v>19</v>
      </c>
    </row>
    <row r="48" spans="1:12" ht="20" customHeight="1" x14ac:dyDescent="0.15">
      <c r="A48" s="8" t="s">
        <v>210</v>
      </c>
      <c r="B48" s="9" t="s">
        <v>211</v>
      </c>
      <c r="C48" s="10">
        <v>2021</v>
      </c>
      <c r="D48" s="11" t="s">
        <v>212</v>
      </c>
      <c r="E48" s="11" t="s">
        <v>155</v>
      </c>
      <c r="F48" s="11" t="s">
        <v>32</v>
      </c>
      <c r="G48" s="12"/>
      <c r="H48" s="11" t="s">
        <v>213</v>
      </c>
      <c r="I48" s="11" t="s">
        <v>214</v>
      </c>
      <c r="J48" s="10">
        <v>0</v>
      </c>
      <c r="K48" s="10">
        <v>0</v>
      </c>
      <c r="L48" s="11" t="s">
        <v>19</v>
      </c>
    </row>
    <row r="49" spans="1:12" ht="20" customHeight="1" x14ac:dyDescent="0.15">
      <c r="A49" s="8" t="s">
        <v>215</v>
      </c>
      <c r="B49" s="9" t="s">
        <v>216</v>
      </c>
      <c r="C49" s="10">
        <v>2020</v>
      </c>
      <c r="D49" s="11" t="s">
        <v>217</v>
      </c>
      <c r="E49" s="11" t="s">
        <v>155</v>
      </c>
      <c r="F49" s="11" t="s">
        <v>75</v>
      </c>
      <c r="G49" s="12"/>
      <c r="H49" s="11" t="s">
        <v>218</v>
      </c>
      <c r="I49" s="11" t="s">
        <v>219</v>
      </c>
      <c r="J49" s="10">
        <v>0</v>
      </c>
      <c r="K49" s="10">
        <v>0</v>
      </c>
      <c r="L49" s="11" t="s">
        <v>19</v>
      </c>
    </row>
    <row r="50" spans="1:12" ht="20" customHeight="1" x14ac:dyDescent="0.15">
      <c r="A50" s="8" t="s">
        <v>220</v>
      </c>
      <c r="B50" s="9" t="s">
        <v>221</v>
      </c>
      <c r="C50" s="10">
        <v>2020</v>
      </c>
      <c r="D50" s="11" t="s">
        <v>222</v>
      </c>
      <c r="E50" s="11" t="s">
        <v>155</v>
      </c>
      <c r="F50" s="11" t="s">
        <v>32</v>
      </c>
      <c r="G50" s="11" t="s">
        <v>223</v>
      </c>
      <c r="H50" s="11" t="s">
        <v>224</v>
      </c>
      <c r="I50" s="11" t="s">
        <v>225</v>
      </c>
      <c r="J50" s="10">
        <v>0</v>
      </c>
      <c r="K50" s="10">
        <v>0</v>
      </c>
      <c r="L50" s="11" t="s">
        <v>29</v>
      </c>
    </row>
    <row r="51" spans="1:12" ht="20" customHeight="1" x14ac:dyDescent="0.15">
      <c r="A51" s="8" t="s">
        <v>226</v>
      </c>
      <c r="B51" s="9" t="s">
        <v>227</v>
      </c>
      <c r="C51" s="10">
        <v>2020</v>
      </c>
      <c r="D51" s="11" t="s">
        <v>228</v>
      </c>
      <c r="E51" s="11" t="s">
        <v>155</v>
      </c>
      <c r="F51" s="11" t="s">
        <v>32</v>
      </c>
      <c r="G51" s="11" t="s">
        <v>229</v>
      </c>
      <c r="H51" s="11" t="s">
        <v>230</v>
      </c>
      <c r="I51" s="11" t="s">
        <v>231</v>
      </c>
      <c r="J51" s="10">
        <v>0</v>
      </c>
      <c r="K51" s="10">
        <v>0</v>
      </c>
      <c r="L51" s="11" t="s">
        <v>29</v>
      </c>
    </row>
    <row r="52" spans="1:12" ht="20" customHeight="1" x14ac:dyDescent="0.15">
      <c r="A52" s="8" t="s">
        <v>232</v>
      </c>
      <c r="B52" s="9" t="s">
        <v>233</v>
      </c>
      <c r="C52" s="10">
        <v>2019</v>
      </c>
      <c r="D52" s="11" t="s">
        <v>15</v>
      </c>
      <c r="E52" s="11" t="s">
        <v>155</v>
      </c>
      <c r="F52" s="11" t="s">
        <v>32</v>
      </c>
      <c r="G52" s="12"/>
      <c r="H52" s="12"/>
      <c r="I52" s="11" t="s">
        <v>234</v>
      </c>
      <c r="J52" s="10">
        <v>0</v>
      </c>
      <c r="K52" s="10">
        <v>0</v>
      </c>
      <c r="L52" s="11" t="s">
        <v>19</v>
      </c>
    </row>
    <row r="53" spans="1:12" ht="20" customHeight="1" x14ac:dyDescent="0.15">
      <c r="A53" s="8" t="s">
        <v>235</v>
      </c>
      <c r="B53" s="9" t="s">
        <v>236</v>
      </c>
      <c r="C53" s="10">
        <v>2026</v>
      </c>
      <c r="D53" s="11" t="s">
        <v>15</v>
      </c>
      <c r="E53" s="11" t="s">
        <v>237</v>
      </c>
      <c r="F53" s="11" t="s">
        <v>75</v>
      </c>
      <c r="G53" s="12"/>
      <c r="H53" s="12"/>
      <c r="I53" s="11" t="s">
        <v>238</v>
      </c>
      <c r="J53" s="10">
        <v>0</v>
      </c>
      <c r="K53" s="10">
        <v>0</v>
      </c>
      <c r="L53" s="11" t="s">
        <v>19</v>
      </c>
    </row>
    <row r="54" spans="1:12" ht="20" customHeight="1" x14ac:dyDescent="0.15">
      <c r="A54" s="8" t="s">
        <v>239</v>
      </c>
      <c r="B54" s="9" t="s">
        <v>240</v>
      </c>
      <c r="C54" s="10">
        <v>2026</v>
      </c>
      <c r="D54" s="11" t="s">
        <v>15</v>
      </c>
      <c r="E54" s="11" t="s">
        <v>237</v>
      </c>
      <c r="F54" s="11" t="s">
        <v>32</v>
      </c>
      <c r="G54" s="12"/>
      <c r="H54" s="12"/>
      <c r="I54" s="11" t="s">
        <v>241</v>
      </c>
      <c r="J54" s="10">
        <v>0</v>
      </c>
      <c r="K54" s="10">
        <v>0</v>
      </c>
      <c r="L54" s="11" t="s">
        <v>19</v>
      </c>
    </row>
    <row r="55" spans="1:12" ht="20" customHeight="1" x14ac:dyDescent="0.15">
      <c r="A55" s="8" t="s">
        <v>242</v>
      </c>
      <c r="B55" s="9" t="s">
        <v>243</v>
      </c>
      <c r="C55" s="10">
        <v>2026</v>
      </c>
      <c r="D55" s="11" t="s">
        <v>15</v>
      </c>
      <c r="E55" s="11" t="s">
        <v>237</v>
      </c>
      <c r="F55" s="11" t="s">
        <v>32</v>
      </c>
      <c r="G55" s="12"/>
      <c r="H55" s="12"/>
      <c r="I55" s="11" t="s">
        <v>244</v>
      </c>
      <c r="J55" s="10">
        <v>0</v>
      </c>
      <c r="K55" s="10">
        <v>0</v>
      </c>
      <c r="L55" s="11" t="s">
        <v>19</v>
      </c>
    </row>
    <row r="56" spans="1:12" ht="20" customHeight="1" x14ac:dyDescent="0.15">
      <c r="A56" s="8" t="s">
        <v>245</v>
      </c>
      <c r="B56" s="9" t="s">
        <v>246</v>
      </c>
      <c r="C56" s="10">
        <v>2026</v>
      </c>
      <c r="D56" s="11" t="s">
        <v>15</v>
      </c>
      <c r="E56" s="11" t="s">
        <v>237</v>
      </c>
      <c r="F56" s="11" t="s">
        <v>32</v>
      </c>
      <c r="G56" s="12"/>
      <c r="H56" s="12"/>
      <c r="I56" s="11" t="s">
        <v>247</v>
      </c>
      <c r="J56" s="10">
        <v>0</v>
      </c>
      <c r="K56" s="10">
        <v>0</v>
      </c>
      <c r="L56" s="11" t="s">
        <v>19</v>
      </c>
    </row>
    <row r="57" spans="1:12" ht="20" customHeight="1" x14ac:dyDescent="0.15">
      <c r="A57" s="8" t="s">
        <v>248</v>
      </c>
      <c r="B57" s="9" t="s">
        <v>249</v>
      </c>
      <c r="C57" s="10">
        <v>2026</v>
      </c>
      <c r="D57" s="11" t="s">
        <v>15</v>
      </c>
      <c r="E57" s="11" t="s">
        <v>237</v>
      </c>
      <c r="F57" s="11" t="s">
        <v>32</v>
      </c>
      <c r="G57" s="12"/>
      <c r="H57" s="12"/>
      <c r="I57" s="11" t="s">
        <v>250</v>
      </c>
      <c r="J57" s="10">
        <v>0</v>
      </c>
      <c r="K57" s="10">
        <v>0</v>
      </c>
      <c r="L57" s="11" t="s">
        <v>19</v>
      </c>
    </row>
    <row r="58" spans="1:12" ht="20" customHeight="1" x14ac:dyDescent="0.15">
      <c r="A58" s="8" t="s">
        <v>251</v>
      </c>
      <c r="B58" s="9" t="s">
        <v>252</v>
      </c>
      <c r="C58" s="10">
        <v>2026</v>
      </c>
      <c r="D58" s="11" t="s">
        <v>15</v>
      </c>
      <c r="E58" s="11" t="s">
        <v>237</v>
      </c>
      <c r="F58" s="11" t="s">
        <v>32</v>
      </c>
      <c r="G58" s="12"/>
      <c r="H58" s="12"/>
      <c r="I58" s="11" t="s">
        <v>253</v>
      </c>
      <c r="J58" s="10">
        <v>0</v>
      </c>
      <c r="K58" s="10">
        <v>0</v>
      </c>
      <c r="L58" s="11" t="s">
        <v>19</v>
      </c>
    </row>
    <row r="59" spans="1:12" ht="20" customHeight="1" x14ac:dyDescent="0.15">
      <c r="A59" s="8" t="s">
        <v>254</v>
      </c>
      <c r="B59" s="9" t="s">
        <v>255</v>
      </c>
      <c r="C59" s="10">
        <v>2025</v>
      </c>
      <c r="D59" s="11" t="s">
        <v>15</v>
      </c>
      <c r="E59" s="11" t="s">
        <v>237</v>
      </c>
      <c r="F59" s="11" t="s">
        <v>75</v>
      </c>
      <c r="G59" s="12"/>
      <c r="H59" s="12"/>
      <c r="I59" s="11" t="s">
        <v>256</v>
      </c>
      <c r="J59" s="10">
        <v>0</v>
      </c>
      <c r="K59" s="10">
        <v>1</v>
      </c>
      <c r="L59" s="11" t="s">
        <v>19</v>
      </c>
    </row>
    <row r="60" spans="1:12" ht="20" customHeight="1" x14ac:dyDescent="0.15">
      <c r="A60" s="8" t="s">
        <v>257</v>
      </c>
      <c r="B60" s="9" t="s">
        <v>258</v>
      </c>
      <c r="C60" s="10">
        <v>2025</v>
      </c>
      <c r="D60" s="11" t="s">
        <v>15</v>
      </c>
      <c r="E60" s="11" t="s">
        <v>237</v>
      </c>
      <c r="F60" s="11" t="s">
        <v>75</v>
      </c>
      <c r="G60" s="12"/>
      <c r="H60" s="12"/>
      <c r="I60" s="11" t="s">
        <v>259</v>
      </c>
      <c r="J60" s="10">
        <v>0</v>
      </c>
      <c r="K60" s="10">
        <v>1</v>
      </c>
      <c r="L60" s="11" t="s">
        <v>19</v>
      </c>
    </row>
    <row r="61" spans="1:12" ht="20" customHeight="1" x14ac:dyDescent="0.15">
      <c r="A61" s="8" t="s">
        <v>260</v>
      </c>
      <c r="B61" s="9" t="s">
        <v>261</v>
      </c>
      <c r="C61" s="10">
        <v>2025</v>
      </c>
      <c r="D61" s="11" t="s">
        <v>15</v>
      </c>
      <c r="E61" s="11" t="s">
        <v>237</v>
      </c>
      <c r="F61" s="11" t="s">
        <v>75</v>
      </c>
      <c r="G61" s="12"/>
      <c r="H61" s="12"/>
      <c r="I61" s="11" t="s">
        <v>262</v>
      </c>
      <c r="J61" s="10">
        <v>0</v>
      </c>
      <c r="K61" s="10">
        <v>0</v>
      </c>
      <c r="L61" s="11" t="s">
        <v>19</v>
      </c>
    </row>
    <row r="62" spans="1:12" ht="20" customHeight="1" x14ac:dyDescent="0.15">
      <c r="A62" s="8" t="s">
        <v>263</v>
      </c>
      <c r="B62" s="9" t="s">
        <v>264</v>
      </c>
      <c r="C62" s="10">
        <v>2025</v>
      </c>
      <c r="D62" s="11" t="s">
        <v>15</v>
      </c>
      <c r="E62" s="11" t="s">
        <v>237</v>
      </c>
      <c r="F62" s="11" t="s">
        <v>32</v>
      </c>
      <c r="G62" s="12"/>
      <c r="H62" s="12"/>
      <c r="I62" s="11" t="s">
        <v>265</v>
      </c>
      <c r="J62" s="10">
        <v>0</v>
      </c>
      <c r="K62" s="10">
        <v>0</v>
      </c>
      <c r="L62" s="11" t="s">
        <v>19</v>
      </c>
    </row>
    <row r="63" spans="1:12" ht="20" customHeight="1" x14ac:dyDescent="0.15">
      <c r="A63" s="8" t="s">
        <v>266</v>
      </c>
      <c r="B63" s="9" t="s">
        <v>267</v>
      </c>
      <c r="C63" s="10">
        <v>2025</v>
      </c>
      <c r="D63" s="11" t="s">
        <v>268</v>
      </c>
      <c r="E63" s="11" t="s">
        <v>237</v>
      </c>
      <c r="F63" s="11" t="s">
        <v>32</v>
      </c>
      <c r="G63" s="11" t="s">
        <v>62</v>
      </c>
      <c r="H63" s="11" t="s">
        <v>269</v>
      </c>
      <c r="I63" s="11" t="s">
        <v>270</v>
      </c>
      <c r="J63" s="10">
        <v>1</v>
      </c>
      <c r="K63" s="10">
        <v>0</v>
      </c>
      <c r="L63" s="11" t="s">
        <v>29</v>
      </c>
    </row>
    <row r="64" spans="1:12" ht="20" customHeight="1" x14ac:dyDescent="0.15">
      <c r="A64" s="8" t="s">
        <v>271</v>
      </c>
      <c r="B64" s="9" t="s">
        <v>272</v>
      </c>
      <c r="C64" s="10">
        <v>2025</v>
      </c>
      <c r="D64" s="11" t="s">
        <v>25</v>
      </c>
      <c r="E64" s="11" t="s">
        <v>237</v>
      </c>
      <c r="F64" s="11" t="s">
        <v>32</v>
      </c>
      <c r="G64" s="11" t="s">
        <v>273</v>
      </c>
      <c r="H64" s="11" t="s">
        <v>274</v>
      </c>
      <c r="I64" s="11" t="s">
        <v>275</v>
      </c>
      <c r="J64" s="10">
        <v>1</v>
      </c>
      <c r="K64" s="10">
        <v>0</v>
      </c>
      <c r="L64" s="11" t="s">
        <v>29</v>
      </c>
    </row>
    <row r="65" spans="1:12" ht="20" customHeight="1" x14ac:dyDescent="0.15">
      <c r="A65" s="8" t="s">
        <v>276</v>
      </c>
      <c r="B65" s="9" t="s">
        <v>277</v>
      </c>
      <c r="C65" s="10">
        <v>2025</v>
      </c>
      <c r="D65" s="12"/>
      <c r="E65" s="11" t="s">
        <v>237</v>
      </c>
      <c r="F65" s="11" t="s">
        <v>75</v>
      </c>
      <c r="G65" s="11" t="s">
        <v>278</v>
      </c>
      <c r="H65" s="11" t="s">
        <v>279</v>
      </c>
      <c r="I65" s="12"/>
      <c r="J65" s="10">
        <v>0</v>
      </c>
      <c r="K65" s="10">
        <v>1</v>
      </c>
      <c r="L65" s="11" t="s">
        <v>78</v>
      </c>
    </row>
    <row r="66" spans="1:12" ht="20" customHeight="1" x14ac:dyDescent="0.15">
      <c r="A66" s="8" t="s">
        <v>280</v>
      </c>
      <c r="B66" s="9" t="s">
        <v>281</v>
      </c>
      <c r="C66" s="10">
        <v>2025</v>
      </c>
      <c r="D66" s="12"/>
      <c r="E66" s="11" t="s">
        <v>237</v>
      </c>
      <c r="F66" s="11" t="s">
        <v>75</v>
      </c>
      <c r="G66" s="11" t="s">
        <v>194</v>
      </c>
      <c r="H66" s="11" t="s">
        <v>282</v>
      </c>
      <c r="I66" s="12"/>
      <c r="J66" s="10">
        <v>0</v>
      </c>
      <c r="K66" s="10">
        <v>1</v>
      </c>
      <c r="L66" s="11" t="s">
        <v>78</v>
      </c>
    </row>
    <row r="67" spans="1:12" ht="20" customHeight="1" x14ac:dyDescent="0.15">
      <c r="A67" s="8" t="s">
        <v>283</v>
      </c>
      <c r="B67" s="9" t="s">
        <v>284</v>
      </c>
      <c r="C67" s="10">
        <v>2025</v>
      </c>
      <c r="D67" s="11" t="s">
        <v>15</v>
      </c>
      <c r="E67" s="11" t="s">
        <v>237</v>
      </c>
      <c r="F67" s="11" t="s">
        <v>75</v>
      </c>
      <c r="G67" s="12"/>
      <c r="H67" s="12"/>
      <c r="I67" s="11" t="s">
        <v>285</v>
      </c>
      <c r="J67" s="10">
        <v>0</v>
      </c>
      <c r="K67" s="10">
        <v>1</v>
      </c>
      <c r="L67" s="11" t="s">
        <v>78</v>
      </c>
    </row>
    <row r="68" spans="1:12" ht="20" customHeight="1" x14ac:dyDescent="0.15">
      <c r="A68" s="8" t="s">
        <v>286</v>
      </c>
      <c r="B68" s="9" t="s">
        <v>287</v>
      </c>
      <c r="C68" s="10">
        <v>2024</v>
      </c>
      <c r="D68" s="11" t="s">
        <v>15</v>
      </c>
      <c r="E68" s="11" t="s">
        <v>237</v>
      </c>
      <c r="F68" s="11" t="s">
        <v>32</v>
      </c>
      <c r="G68" s="12"/>
      <c r="H68" s="12"/>
      <c r="I68" s="11" t="s">
        <v>288</v>
      </c>
      <c r="J68" s="10">
        <v>0</v>
      </c>
      <c r="K68" s="10">
        <v>0</v>
      </c>
      <c r="L68" s="11" t="s">
        <v>19</v>
      </c>
    </row>
    <row r="69" spans="1:12" ht="20" customHeight="1" x14ac:dyDescent="0.15">
      <c r="A69" s="8" t="s">
        <v>289</v>
      </c>
      <c r="B69" s="9" t="s">
        <v>290</v>
      </c>
      <c r="C69" s="10">
        <v>2024</v>
      </c>
      <c r="D69" s="11" t="s">
        <v>15</v>
      </c>
      <c r="E69" s="11" t="s">
        <v>237</v>
      </c>
      <c r="F69" s="11" t="s">
        <v>32</v>
      </c>
      <c r="G69" s="12"/>
      <c r="H69" s="12"/>
      <c r="I69" s="11" t="s">
        <v>291</v>
      </c>
      <c r="J69" s="10">
        <v>0</v>
      </c>
      <c r="K69" s="10">
        <v>0</v>
      </c>
      <c r="L69" s="11" t="s">
        <v>19</v>
      </c>
    </row>
    <row r="70" spans="1:12" ht="20" customHeight="1" x14ac:dyDescent="0.15">
      <c r="A70" s="8" t="s">
        <v>292</v>
      </c>
      <c r="B70" s="9" t="s">
        <v>293</v>
      </c>
      <c r="C70" s="10">
        <v>2023</v>
      </c>
      <c r="D70" s="11" t="s">
        <v>294</v>
      </c>
      <c r="E70" s="11" t="s">
        <v>237</v>
      </c>
      <c r="F70" s="11" t="s">
        <v>75</v>
      </c>
      <c r="G70" s="11" t="s">
        <v>26</v>
      </c>
      <c r="H70" s="11" t="s">
        <v>295</v>
      </c>
      <c r="I70" s="11" t="s">
        <v>296</v>
      </c>
      <c r="J70" s="10">
        <v>0</v>
      </c>
      <c r="K70" s="10">
        <v>0</v>
      </c>
      <c r="L70" s="11" t="s">
        <v>29</v>
      </c>
    </row>
    <row r="71" spans="1:12" ht="20" customHeight="1" x14ac:dyDescent="0.15">
      <c r="A71" s="8" t="s">
        <v>297</v>
      </c>
      <c r="B71" s="9" t="s">
        <v>298</v>
      </c>
      <c r="C71" s="10">
        <v>2021</v>
      </c>
      <c r="D71" s="11" t="s">
        <v>299</v>
      </c>
      <c r="E71" s="11" t="s">
        <v>237</v>
      </c>
      <c r="F71" s="11" t="s">
        <v>32</v>
      </c>
      <c r="G71" s="11" t="s">
        <v>300</v>
      </c>
      <c r="H71" s="11" t="s">
        <v>301</v>
      </c>
      <c r="I71" s="11" t="s">
        <v>302</v>
      </c>
      <c r="J71" s="10">
        <v>0</v>
      </c>
      <c r="K71" s="10">
        <v>0</v>
      </c>
      <c r="L71" s="11" t="s">
        <v>29</v>
      </c>
    </row>
    <row r="72" spans="1:12" ht="20" customHeight="1" x14ac:dyDescent="0.15">
      <c r="A72" s="8" t="s">
        <v>303</v>
      </c>
      <c r="B72" s="9" t="s">
        <v>304</v>
      </c>
      <c r="C72" s="10">
        <v>2021</v>
      </c>
      <c r="D72" s="11" t="s">
        <v>305</v>
      </c>
      <c r="E72" s="11" t="s">
        <v>237</v>
      </c>
      <c r="F72" s="11" t="s">
        <v>32</v>
      </c>
      <c r="G72" s="11" t="s">
        <v>306</v>
      </c>
      <c r="H72" s="11" t="s">
        <v>307</v>
      </c>
      <c r="I72" s="11" t="s">
        <v>308</v>
      </c>
      <c r="J72" s="10">
        <v>0</v>
      </c>
      <c r="K72" s="10">
        <v>0</v>
      </c>
      <c r="L72" s="11" t="s">
        <v>29</v>
      </c>
    </row>
    <row r="73" spans="1:12" ht="20" customHeight="1" x14ac:dyDescent="0.15">
      <c r="A73" s="8" t="s">
        <v>309</v>
      </c>
      <c r="B73" s="9" t="s">
        <v>310</v>
      </c>
      <c r="C73" s="10">
        <v>2020</v>
      </c>
      <c r="D73" s="12"/>
      <c r="E73" s="11" t="s">
        <v>237</v>
      </c>
      <c r="F73" s="11" t="s">
        <v>75</v>
      </c>
      <c r="G73" s="11" t="s">
        <v>311</v>
      </c>
      <c r="H73" s="11" t="s">
        <v>312</v>
      </c>
      <c r="I73" s="12"/>
      <c r="J73" s="10">
        <v>0</v>
      </c>
      <c r="K73" s="10">
        <v>1</v>
      </c>
      <c r="L73" s="11" t="s">
        <v>78</v>
      </c>
    </row>
    <row r="74" spans="1:12" ht="20" customHeight="1" x14ac:dyDescent="0.15">
      <c r="A74" s="8" t="s">
        <v>313</v>
      </c>
      <c r="B74" s="9" t="s">
        <v>314</v>
      </c>
      <c r="C74" s="10">
        <v>2019</v>
      </c>
      <c r="D74" s="11" t="s">
        <v>315</v>
      </c>
      <c r="E74" s="11" t="s">
        <v>237</v>
      </c>
      <c r="F74" s="11" t="s">
        <v>32</v>
      </c>
      <c r="G74" s="11" t="s">
        <v>316</v>
      </c>
      <c r="H74" s="11" t="s">
        <v>317</v>
      </c>
      <c r="I74" s="11" t="s">
        <v>318</v>
      </c>
      <c r="J74" s="10">
        <v>0</v>
      </c>
      <c r="K74" s="10">
        <v>0</v>
      </c>
      <c r="L74" s="11" t="s">
        <v>29</v>
      </c>
    </row>
    <row r="75" spans="1:12" ht="20" customHeight="1" x14ac:dyDescent="0.15">
      <c r="A75" s="8" t="s">
        <v>319</v>
      </c>
      <c r="B75" s="9" t="s">
        <v>320</v>
      </c>
      <c r="C75" s="10">
        <v>2026</v>
      </c>
      <c r="D75" s="11" t="s">
        <v>15</v>
      </c>
      <c r="E75" s="11" t="s">
        <v>321</v>
      </c>
      <c r="F75" s="11" t="s">
        <v>75</v>
      </c>
      <c r="G75" s="12"/>
      <c r="H75" s="11" t="s">
        <v>322</v>
      </c>
      <c r="I75" s="11" t="s">
        <v>323</v>
      </c>
      <c r="J75" s="10">
        <v>0</v>
      </c>
      <c r="K75" s="10">
        <v>0</v>
      </c>
      <c r="L75" s="11" t="s">
        <v>19</v>
      </c>
    </row>
    <row r="76" spans="1:12" ht="20" customHeight="1" x14ac:dyDescent="0.15">
      <c r="A76" s="8" t="s">
        <v>324</v>
      </c>
      <c r="B76" s="9" t="s">
        <v>325</v>
      </c>
      <c r="C76" s="10">
        <v>2026</v>
      </c>
      <c r="D76" s="11" t="s">
        <v>15</v>
      </c>
      <c r="E76" s="11" t="s">
        <v>321</v>
      </c>
      <c r="F76" s="11" t="s">
        <v>75</v>
      </c>
      <c r="G76" s="12"/>
      <c r="H76" s="12"/>
      <c r="I76" s="11" t="s">
        <v>326</v>
      </c>
      <c r="J76" s="10">
        <v>0</v>
      </c>
      <c r="K76" s="10">
        <v>0</v>
      </c>
      <c r="L76" s="11" t="s">
        <v>19</v>
      </c>
    </row>
    <row r="77" spans="1:12" ht="20" customHeight="1" x14ac:dyDescent="0.15">
      <c r="A77" s="8" t="s">
        <v>327</v>
      </c>
      <c r="B77" s="9" t="s">
        <v>328</v>
      </c>
      <c r="C77" s="10">
        <v>2026</v>
      </c>
      <c r="D77" s="11" t="s">
        <v>15</v>
      </c>
      <c r="E77" s="11" t="s">
        <v>321</v>
      </c>
      <c r="F77" s="11" t="s">
        <v>75</v>
      </c>
      <c r="G77" s="12"/>
      <c r="H77" s="12"/>
      <c r="I77" s="11" t="s">
        <v>329</v>
      </c>
      <c r="J77" s="10">
        <v>0</v>
      </c>
      <c r="K77" s="10">
        <v>0</v>
      </c>
      <c r="L77" s="11" t="s">
        <v>19</v>
      </c>
    </row>
    <row r="78" spans="1:12" ht="20" customHeight="1" x14ac:dyDescent="0.15">
      <c r="A78" s="8" t="s">
        <v>330</v>
      </c>
      <c r="B78" s="9" t="s">
        <v>331</v>
      </c>
      <c r="C78" s="10">
        <v>2026</v>
      </c>
      <c r="D78" s="11" t="s">
        <v>315</v>
      </c>
      <c r="E78" s="11" t="s">
        <v>321</v>
      </c>
      <c r="F78" s="11" t="s">
        <v>32</v>
      </c>
      <c r="G78" s="11" t="s">
        <v>62</v>
      </c>
      <c r="H78" s="11" t="s">
        <v>332</v>
      </c>
      <c r="I78" s="11" t="s">
        <v>333</v>
      </c>
      <c r="J78" s="10">
        <v>0</v>
      </c>
      <c r="K78" s="10">
        <v>0</v>
      </c>
      <c r="L78" s="11" t="s">
        <v>29</v>
      </c>
    </row>
    <row r="79" spans="1:12" ht="20" customHeight="1" x14ac:dyDescent="0.15">
      <c r="A79" s="8" t="s">
        <v>334</v>
      </c>
      <c r="B79" s="9" t="s">
        <v>335</v>
      </c>
      <c r="C79" s="10">
        <v>2026</v>
      </c>
      <c r="D79" s="11" t="s">
        <v>15</v>
      </c>
      <c r="E79" s="11" t="s">
        <v>321</v>
      </c>
      <c r="F79" s="11" t="s">
        <v>32</v>
      </c>
      <c r="G79" s="12"/>
      <c r="H79" s="12"/>
      <c r="I79" s="11" t="s">
        <v>336</v>
      </c>
      <c r="J79" s="10">
        <v>0</v>
      </c>
      <c r="K79" s="10">
        <v>0</v>
      </c>
      <c r="L79" s="11" t="s">
        <v>19</v>
      </c>
    </row>
    <row r="80" spans="1:12" ht="20" customHeight="1" x14ac:dyDescent="0.15">
      <c r="A80" s="8" t="s">
        <v>337</v>
      </c>
      <c r="B80" s="9" t="s">
        <v>338</v>
      </c>
      <c r="C80" s="10">
        <v>2025</v>
      </c>
      <c r="D80" s="11" t="s">
        <v>15</v>
      </c>
      <c r="E80" s="11" t="s">
        <v>321</v>
      </c>
      <c r="F80" s="11" t="s">
        <v>75</v>
      </c>
      <c r="G80" s="12"/>
      <c r="H80" s="11" t="s">
        <v>339</v>
      </c>
      <c r="I80" s="11" t="s">
        <v>340</v>
      </c>
      <c r="J80" s="10">
        <v>0</v>
      </c>
      <c r="K80" s="10">
        <v>0</v>
      </c>
      <c r="L80" s="11" t="s">
        <v>19</v>
      </c>
    </row>
    <row r="81" spans="1:12" ht="20" customHeight="1" x14ac:dyDescent="0.15">
      <c r="A81" s="8" t="s">
        <v>341</v>
      </c>
      <c r="B81" s="9" t="s">
        <v>342</v>
      </c>
      <c r="C81" s="10">
        <v>2025</v>
      </c>
      <c r="D81" s="11" t="s">
        <v>343</v>
      </c>
      <c r="E81" s="11" t="s">
        <v>321</v>
      </c>
      <c r="F81" s="11" t="s">
        <v>75</v>
      </c>
      <c r="G81" s="12"/>
      <c r="H81" s="11" t="s">
        <v>344</v>
      </c>
      <c r="I81" s="11" t="s">
        <v>345</v>
      </c>
      <c r="J81" s="10">
        <v>0</v>
      </c>
      <c r="K81" s="10">
        <v>0</v>
      </c>
      <c r="L81" s="11" t="s">
        <v>19</v>
      </c>
    </row>
    <row r="82" spans="1:12" ht="20" customHeight="1" x14ac:dyDescent="0.15">
      <c r="A82" s="8" t="s">
        <v>346</v>
      </c>
      <c r="B82" s="9" t="s">
        <v>347</v>
      </c>
      <c r="C82" s="10">
        <v>2025</v>
      </c>
      <c r="D82" s="11" t="s">
        <v>15</v>
      </c>
      <c r="E82" s="11" t="s">
        <v>321</v>
      </c>
      <c r="F82" s="11" t="s">
        <v>75</v>
      </c>
      <c r="G82" s="12"/>
      <c r="H82" s="12"/>
      <c r="I82" s="11" t="s">
        <v>348</v>
      </c>
      <c r="J82" s="10">
        <v>0</v>
      </c>
      <c r="K82" s="10">
        <v>0</v>
      </c>
      <c r="L82" s="11" t="s">
        <v>19</v>
      </c>
    </row>
    <row r="83" spans="1:12" ht="20" customHeight="1" x14ac:dyDescent="0.15">
      <c r="A83" s="8" t="s">
        <v>349</v>
      </c>
      <c r="B83" s="9" t="s">
        <v>350</v>
      </c>
      <c r="C83" s="10">
        <v>2025</v>
      </c>
      <c r="D83" s="11" t="s">
        <v>15</v>
      </c>
      <c r="E83" s="11" t="s">
        <v>321</v>
      </c>
      <c r="F83" s="11" t="s">
        <v>75</v>
      </c>
      <c r="G83" s="12"/>
      <c r="H83" s="12"/>
      <c r="I83" s="11" t="s">
        <v>351</v>
      </c>
      <c r="J83" s="10">
        <v>0</v>
      </c>
      <c r="K83" s="10">
        <v>0</v>
      </c>
      <c r="L83" s="11" t="s">
        <v>19</v>
      </c>
    </row>
    <row r="84" spans="1:12" ht="20" customHeight="1" x14ac:dyDescent="0.15">
      <c r="A84" s="8" t="s">
        <v>352</v>
      </c>
      <c r="B84" s="9" t="s">
        <v>353</v>
      </c>
      <c r="C84" s="10">
        <v>2025</v>
      </c>
      <c r="D84" s="11" t="s">
        <v>15</v>
      </c>
      <c r="E84" s="11" t="s">
        <v>321</v>
      </c>
      <c r="F84" s="11" t="s">
        <v>32</v>
      </c>
      <c r="G84" s="12"/>
      <c r="H84" s="12"/>
      <c r="I84" s="11" t="s">
        <v>354</v>
      </c>
      <c r="J84" s="10">
        <v>0</v>
      </c>
      <c r="K84" s="10">
        <v>0</v>
      </c>
      <c r="L84" s="11" t="s">
        <v>19</v>
      </c>
    </row>
    <row r="85" spans="1:12" ht="20" customHeight="1" x14ac:dyDescent="0.15">
      <c r="A85" s="8" t="s">
        <v>355</v>
      </c>
      <c r="B85" s="9" t="s">
        <v>356</v>
      </c>
      <c r="C85" s="10">
        <v>2025</v>
      </c>
      <c r="D85" s="11" t="s">
        <v>15</v>
      </c>
      <c r="E85" s="11" t="s">
        <v>321</v>
      </c>
      <c r="F85" s="11" t="s">
        <v>32</v>
      </c>
      <c r="G85" s="12"/>
      <c r="H85" s="12"/>
      <c r="I85" s="11" t="s">
        <v>357</v>
      </c>
      <c r="J85" s="10">
        <v>0</v>
      </c>
      <c r="K85" s="10">
        <v>0</v>
      </c>
      <c r="L85" s="11" t="s">
        <v>19</v>
      </c>
    </row>
    <row r="86" spans="1:12" ht="20" customHeight="1" x14ac:dyDescent="0.15">
      <c r="A86" s="8" t="s">
        <v>358</v>
      </c>
      <c r="B86" s="9" t="s">
        <v>359</v>
      </c>
      <c r="C86" s="10">
        <v>2024</v>
      </c>
      <c r="D86" s="11" t="s">
        <v>126</v>
      </c>
      <c r="E86" s="11" t="s">
        <v>321</v>
      </c>
      <c r="F86" s="11" t="s">
        <v>17</v>
      </c>
      <c r="G86" s="11" t="s">
        <v>360</v>
      </c>
      <c r="H86" s="11" t="s">
        <v>361</v>
      </c>
      <c r="I86" s="11" t="s">
        <v>362</v>
      </c>
      <c r="J86" s="10">
        <v>0</v>
      </c>
      <c r="K86" s="10">
        <v>0</v>
      </c>
      <c r="L86" s="11" t="s">
        <v>29</v>
      </c>
    </row>
    <row r="87" spans="1:12" ht="20" customHeight="1" x14ac:dyDescent="0.15">
      <c r="A87" s="8" t="s">
        <v>363</v>
      </c>
      <c r="B87" s="9" t="s">
        <v>364</v>
      </c>
      <c r="C87" s="10">
        <v>2024</v>
      </c>
      <c r="D87" s="11" t="s">
        <v>25</v>
      </c>
      <c r="E87" s="11" t="s">
        <v>321</v>
      </c>
      <c r="F87" s="11" t="s">
        <v>17</v>
      </c>
      <c r="G87" s="11" t="s">
        <v>365</v>
      </c>
      <c r="H87" s="11" t="s">
        <v>366</v>
      </c>
      <c r="I87" s="11" t="s">
        <v>367</v>
      </c>
      <c r="J87" s="10">
        <v>0</v>
      </c>
      <c r="K87" s="10">
        <v>0</v>
      </c>
      <c r="L87" s="11" t="s">
        <v>29</v>
      </c>
    </row>
    <row r="88" spans="1:12" ht="20" customHeight="1" x14ac:dyDescent="0.15">
      <c r="A88" s="8" t="s">
        <v>368</v>
      </c>
      <c r="B88" s="9" t="s">
        <v>369</v>
      </c>
      <c r="C88" s="10">
        <v>2024</v>
      </c>
      <c r="D88" s="11" t="s">
        <v>15</v>
      </c>
      <c r="E88" s="11" t="s">
        <v>321</v>
      </c>
      <c r="F88" s="11" t="s">
        <v>75</v>
      </c>
      <c r="G88" s="12"/>
      <c r="H88" s="11" t="s">
        <v>370</v>
      </c>
      <c r="I88" s="11" t="s">
        <v>371</v>
      </c>
      <c r="J88" s="10">
        <v>0</v>
      </c>
      <c r="K88" s="10">
        <v>0</v>
      </c>
      <c r="L88" s="11" t="s">
        <v>19</v>
      </c>
    </row>
    <row r="89" spans="1:12" ht="20" customHeight="1" x14ac:dyDescent="0.15">
      <c r="A89" s="8" t="s">
        <v>372</v>
      </c>
      <c r="B89" s="9" t="s">
        <v>373</v>
      </c>
      <c r="C89" s="10">
        <v>2024</v>
      </c>
      <c r="D89" s="11" t="s">
        <v>15</v>
      </c>
      <c r="E89" s="11" t="s">
        <v>321</v>
      </c>
      <c r="F89" s="11" t="s">
        <v>75</v>
      </c>
      <c r="G89" s="12"/>
      <c r="H89" s="12"/>
      <c r="I89" s="11" t="s">
        <v>374</v>
      </c>
      <c r="J89" s="10">
        <v>0</v>
      </c>
      <c r="K89" s="10">
        <v>0</v>
      </c>
      <c r="L89" s="11" t="s">
        <v>19</v>
      </c>
    </row>
    <row r="90" spans="1:12" ht="20" customHeight="1" x14ac:dyDescent="0.15">
      <c r="A90" s="8" t="s">
        <v>375</v>
      </c>
      <c r="B90" s="9" t="s">
        <v>376</v>
      </c>
      <c r="C90" s="10">
        <v>2024</v>
      </c>
      <c r="D90" s="11" t="s">
        <v>377</v>
      </c>
      <c r="E90" s="11" t="s">
        <v>321</v>
      </c>
      <c r="F90" s="11" t="s">
        <v>17</v>
      </c>
      <c r="G90" s="11" t="s">
        <v>378</v>
      </c>
      <c r="H90" s="11" t="s">
        <v>379</v>
      </c>
      <c r="I90" s="11" t="s">
        <v>380</v>
      </c>
      <c r="J90" s="10">
        <v>0</v>
      </c>
      <c r="K90" s="10">
        <v>0</v>
      </c>
      <c r="L90" s="11" t="s">
        <v>29</v>
      </c>
    </row>
    <row r="91" spans="1:12" ht="20" customHeight="1" x14ac:dyDescent="0.15">
      <c r="A91" s="8" t="s">
        <v>381</v>
      </c>
      <c r="B91" s="9" t="s">
        <v>382</v>
      </c>
      <c r="C91" s="10">
        <v>2024</v>
      </c>
      <c r="D91" s="11" t="s">
        <v>383</v>
      </c>
      <c r="E91" s="11" t="s">
        <v>321</v>
      </c>
      <c r="F91" s="11" t="s">
        <v>17</v>
      </c>
      <c r="G91" s="11" t="s">
        <v>384</v>
      </c>
      <c r="H91" s="11" t="s">
        <v>385</v>
      </c>
      <c r="I91" s="11" t="s">
        <v>386</v>
      </c>
      <c r="J91" s="10">
        <v>0</v>
      </c>
      <c r="K91" s="10">
        <v>0</v>
      </c>
      <c r="L91" s="11" t="s">
        <v>29</v>
      </c>
    </row>
    <row r="92" spans="1:12" ht="20" customHeight="1" x14ac:dyDescent="0.15">
      <c r="A92" s="8" t="s">
        <v>387</v>
      </c>
      <c r="B92" s="9" t="s">
        <v>388</v>
      </c>
      <c r="C92" s="10">
        <v>2024</v>
      </c>
      <c r="D92" s="11" t="s">
        <v>315</v>
      </c>
      <c r="E92" s="11" t="s">
        <v>321</v>
      </c>
      <c r="F92" s="11" t="s">
        <v>75</v>
      </c>
      <c r="G92" s="11" t="s">
        <v>389</v>
      </c>
      <c r="H92" s="11" t="s">
        <v>390</v>
      </c>
      <c r="I92" s="11" t="s">
        <v>391</v>
      </c>
      <c r="J92" s="10">
        <v>0</v>
      </c>
      <c r="K92" s="10">
        <v>0</v>
      </c>
      <c r="L92" s="11" t="s">
        <v>29</v>
      </c>
    </row>
    <row r="93" spans="1:12" ht="20" customHeight="1" x14ac:dyDescent="0.15">
      <c r="A93" s="8" t="s">
        <v>392</v>
      </c>
      <c r="B93" s="9" t="s">
        <v>393</v>
      </c>
      <c r="C93" s="10">
        <v>2024</v>
      </c>
      <c r="D93" s="11" t="s">
        <v>15</v>
      </c>
      <c r="E93" s="11" t="s">
        <v>321</v>
      </c>
      <c r="F93" s="11" t="s">
        <v>75</v>
      </c>
      <c r="G93" s="12"/>
      <c r="H93" s="12"/>
      <c r="I93" s="11" t="s">
        <v>394</v>
      </c>
      <c r="J93" s="10">
        <v>0</v>
      </c>
      <c r="K93" s="10">
        <v>0</v>
      </c>
      <c r="L93" s="11" t="s">
        <v>19</v>
      </c>
    </row>
    <row r="94" spans="1:12" ht="20" customHeight="1" x14ac:dyDescent="0.15">
      <c r="A94" s="8" t="s">
        <v>395</v>
      </c>
      <c r="B94" s="9" t="s">
        <v>396</v>
      </c>
      <c r="C94" s="10">
        <v>2024</v>
      </c>
      <c r="D94" s="11" t="s">
        <v>15</v>
      </c>
      <c r="E94" s="11" t="s">
        <v>321</v>
      </c>
      <c r="F94" s="11" t="s">
        <v>32</v>
      </c>
      <c r="G94" s="12"/>
      <c r="H94" s="12"/>
      <c r="I94" s="11" t="s">
        <v>397</v>
      </c>
      <c r="J94" s="10">
        <v>0</v>
      </c>
      <c r="K94" s="10">
        <v>0</v>
      </c>
      <c r="L94" s="11" t="s">
        <v>19</v>
      </c>
    </row>
    <row r="95" spans="1:12" ht="20" customHeight="1" x14ac:dyDescent="0.15">
      <c r="A95" s="8" t="s">
        <v>398</v>
      </c>
      <c r="B95" s="9" t="s">
        <v>399</v>
      </c>
      <c r="C95" s="10">
        <v>2024</v>
      </c>
      <c r="D95" s="11" t="s">
        <v>315</v>
      </c>
      <c r="E95" s="11" t="s">
        <v>321</v>
      </c>
      <c r="F95" s="11" t="s">
        <v>32</v>
      </c>
      <c r="G95" s="11" t="s">
        <v>400</v>
      </c>
      <c r="H95" s="11" t="s">
        <v>401</v>
      </c>
      <c r="I95" s="11" t="s">
        <v>402</v>
      </c>
      <c r="J95" s="10">
        <v>0</v>
      </c>
      <c r="K95" s="10">
        <v>0</v>
      </c>
      <c r="L95" s="11" t="s">
        <v>29</v>
      </c>
    </row>
    <row r="96" spans="1:12" ht="20" customHeight="1" x14ac:dyDescent="0.15">
      <c r="A96" s="8" t="s">
        <v>403</v>
      </c>
      <c r="B96" s="9" t="s">
        <v>404</v>
      </c>
      <c r="C96" s="10">
        <v>2023</v>
      </c>
      <c r="D96" s="11" t="s">
        <v>15</v>
      </c>
      <c r="E96" s="11" t="s">
        <v>321</v>
      </c>
      <c r="F96" s="11" t="s">
        <v>75</v>
      </c>
      <c r="G96" s="12"/>
      <c r="H96" s="12"/>
      <c r="I96" s="11" t="s">
        <v>405</v>
      </c>
      <c r="J96" s="10">
        <v>0</v>
      </c>
      <c r="K96" s="10">
        <v>0</v>
      </c>
      <c r="L96" s="11" t="s">
        <v>19</v>
      </c>
    </row>
    <row r="97" spans="1:12" ht="20" customHeight="1" x14ac:dyDescent="0.15">
      <c r="A97" s="8" t="s">
        <v>406</v>
      </c>
      <c r="B97" s="9" t="s">
        <v>407</v>
      </c>
      <c r="C97" s="10">
        <v>2023</v>
      </c>
      <c r="D97" s="11" t="s">
        <v>408</v>
      </c>
      <c r="E97" s="11" t="s">
        <v>321</v>
      </c>
      <c r="F97" s="11" t="s">
        <v>17</v>
      </c>
      <c r="G97" s="11" t="s">
        <v>409</v>
      </c>
      <c r="H97" s="11" t="s">
        <v>410</v>
      </c>
      <c r="I97" s="11" t="s">
        <v>411</v>
      </c>
      <c r="J97" s="10">
        <v>0</v>
      </c>
      <c r="K97" s="10">
        <v>0</v>
      </c>
      <c r="L97" s="11" t="s">
        <v>29</v>
      </c>
    </row>
    <row r="98" spans="1:12" ht="20" customHeight="1" x14ac:dyDescent="0.15">
      <c r="A98" s="8" t="s">
        <v>412</v>
      </c>
      <c r="B98" s="9" t="s">
        <v>413</v>
      </c>
      <c r="C98" s="10">
        <v>2023</v>
      </c>
      <c r="D98" s="11" t="s">
        <v>414</v>
      </c>
      <c r="E98" s="11" t="s">
        <v>321</v>
      </c>
      <c r="F98" s="11" t="s">
        <v>75</v>
      </c>
      <c r="G98" s="11" t="s">
        <v>415</v>
      </c>
      <c r="H98" s="11" t="s">
        <v>416</v>
      </c>
      <c r="I98" s="11" t="s">
        <v>417</v>
      </c>
      <c r="J98" s="10">
        <v>0</v>
      </c>
      <c r="K98" s="10">
        <v>0</v>
      </c>
      <c r="L98" s="11" t="s">
        <v>29</v>
      </c>
    </row>
    <row r="99" spans="1:12" ht="20" customHeight="1" x14ac:dyDescent="0.15">
      <c r="A99" s="8" t="s">
        <v>418</v>
      </c>
      <c r="B99" s="9" t="s">
        <v>419</v>
      </c>
      <c r="C99" s="10">
        <v>2023</v>
      </c>
      <c r="D99" s="11" t="s">
        <v>420</v>
      </c>
      <c r="E99" s="11" t="s">
        <v>321</v>
      </c>
      <c r="F99" s="11" t="s">
        <v>17</v>
      </c>
      <c r="G99" s="11" t="s">
        <v>421</v>
      </c>
      <c r="H99" s="11" t="s">
        <v>422</v>
      </c>
      <c r="I99" s="11" t="s">
        <v>423</v>
      </c>
      <c r="J99" s="10">
        <v>0</v>
      </c>
      <c r="K99" s="10">
        <v>0</v>
      </c>
      <c r="L99" s="11" t="s">
        <v>29</v>
      </c>
    </row>
    <row r="100" spans="1:12" ht="20" customHeight="1" x14ac:dyDescent="0.15">
      <c r="A100" s="8" t="s">
        <v>424</v>
      </c>
      <c r="B100" s="9" t="s">
        <v>425</v>
      </c>
      <c r="C100" s="10">
        <v>2023</v>
      </c>
      <c r="D100" s="11" t="s">
        <v>15</v>
      </c>
      <c r="E100" s="11" t="s">
        <v>321</v>
      </c>
      <c r="F100" s="11" t="s">
        <v>75</v>
      </c>
      <c r="G100" s="12"/>
      <c r="H100" s="12"/>
      <c r="I100" s="11" t="s">
        <v>426</v>
      </c>
      <c r="J100" s="10">
        <v>0</v>
      </c>
      <c r="K100" s="10">
        <v>0</v>
      </c>
      <c r="L100" s="11" t="s">
        <v>19</v>
      </c>
    </row>
    <row r="101" spans="1:12" ht="20" customHeight="1" x14ac:dyDescent="0.15">
      <c r="A101" s="8" t="s">
        <v>427</v>
      </c>
      <c r="B101" s="9" t="s">
        <v>428</v>
      </c>
      <c r="C101" s="10">
        <v>2023</v>
      </c>
      <c r="D101" s="11" t="s">
        <v>15</v>
      </c>
      <c r="E101" s="11" t="s">
        <v>321</v>
      </c>
      <c r="F101" s="11" t="s">
        <v>75</v>
      </c>
      <c r="G101" s="12"/>
      <c r="H101" s="12"/>
      <c r="I101" s="11" t="s">
        <v>429</v>
      </c>
      <c r="J101" s="10">
        <v>0</v>
      </c>
      <c r="K101" s="10">
        <v>0</v>
      </c>
      <c r="L101" s="11" t="s">
        <v>19</v>
      </c>
    </row>
    <row r="102" spans="1:12" ht="20" customHeight="1" x14ac:dyDescent="0.15">
      <c r="A102" s="8" t="s">
        <v>430</v>
      </c>
      <c r="B102" s="9" t="s">
        <v>431</v>
      </c>
      <c r="C102" s="10">
        <v>2023</v>
      </c>
      <c r="D102" s="11" t="s">
        <v>315</v>
      </c>
      <c r="E102" s="11" t="s">
        <v>321</v>
      </c>
      <c r="F102" s="11" t="s">
        <v>32</v>
      </c>
      <c r="G102" s="11" t="s">
        <v>432</v>
      </c>
      <c r="H102" s="11" t="s">
        <v>433</v>
      </c>
      <c r="I102" s="11" t="s">
        <v>434</v>
      </c>
      <c r="J102" s="10">
        <v>0</v>
      </c>
      <c r="K102" s="10">
        <v>0</v>
      </c>
      <c r="L102" s="11" t="s">
        <v>29</v>
      </c>
    </row>
    <row r="103" spans="1:12" ht="20" customHeight="1" x14ac:dyDescent="0.15">
      <c r="A103" s="8" t="s">
        <v>435</v>
      </c>
      <c r="B103" s="9" t="s">
        <v>436</v>
      </c>
      <c r="C103" s="10">
        <v>2023</v>
      </c>
      <c r="D103" s="12"/>
      <c r="E103" s="11" t="s">
        <v>321</v>
      </c>
      <c r="F103" s="11" t="s">
        <v>75</v>
      </c>
      <c r="G103" s="11" t="s">
        <v>437</v>
      </c>
      <c r="H103" s="11" t="s">
        <v>438</v>
      </c>
      <c r="I103" s="12"/>
      <c r="J103" s="10">
        <v>0</v>
      </c>
      <c r="K103" s="10">
        <v>1</v>
      </c>
      <c r="L103" s="11" t="s">
        <v>78</v>
      </c>
    </row>
    <row r="104" spans="1:12" ht="20" customHeight="1" x14ac:dyDescent="0.15">
      <c r="A104" s="8" t="s">
        <v>439</v>
      </c>
      <c r="B104" s="9" t="s">
        <v>440</v>
      </c>
      <c r="C104" s="10">
        <v>2022</v>
      </c>
      <c r="D104" s="11" t="s">
        <v>441</v>
      </c>
      <c r="E104" s="11" t="s">
        <v>321</v>
      </c>
      <c r="F104" s="11" t="s">
        <v>75</v>
      </c>
      <c r="G104" s="11" t="s">
        <v>170</v>
      </c>
      <c r="H104" s="11" t="s">
        <v>442</v>
      </c>
      <c r="I104" s="11" t="s">
        <v>443</v>
      </c>
      <c r="J104" s="10">
        <v>0</v>
      </c>
      <c r="K104" s="10">
        <v>0</v>
      </c>
      <c r="L104" s="11" t="s">
        <v>29</v>
      </c>
    </row>
    <row r="105" spans="1:12" ht="20" customHeight="1" x14ac:dyDescent="0.15">
      <c r="A105" s="8" t="s">
        <v>444</v>
      </c>
      <c r="B105" s="9" t="s">
        <v>445</v>
      </c>
      <c r="C105" s="10">
        <v>2022</v>
      </c>
      <c r="D105" s="11" t="s">
        <v>25</v>
      </c>
      <c r="E105" s="11" t="s">
        <v>321</v>
      </c>
      <c r="F105" s="11" t="s">
        <v>17</v>
      </c>
      <c r="G105" s="11" t="s">
        <v>446</v>
      </c>
      <c r="H105" s="11" t="s">
        <v>447</v>
      </c>
      <c r="I105" s="11" t="s">
        <v>448</v>
      </c>
      <c r="J105" s="10">
        <v>0</v>
      </c>
      <c r="K105" s="10">
        <v>0</v>
      </c>
      <c r="L105" s="11" t="s">
        <v>29</v>
      </c>
    </row>
    <row r="106" spans="1:12" ht="20" customHeight="1" x14ac:dyDescent="0.15">
      <c r="A106" s="8" t="s">
        <v>449</v>
      </c>
      <c r="B106" s="9" t="s">
        <v>450</v>
      </c>
      <c r="C106" s="10">
        <v>2022</v>
      </c>
      <c r="D106" s="11" t="s">
        <v>25</v>
      </c>
      <c r="E106" s="11" t="s">
        <v>321</v>
      </c>
      <c r="F106" s="11" t="s">
        <v>75</v>
      </c>
      <c r="G106" s="11" t="s">
        <v>451</v>
      </c>
      <c r="H106" s="11" t="s">
        <v>452</v>
      </c>
      <c r="I106" s="11" t="s">
        <v>453</v>
      </c>
      <c r="J106" s="10">
        <v>0</v>
      </c>
      <c r="K106" s="10">
        <v>0</v>
      </c>
      <c r="L106" s="11" t="s">
        <v>29</v>
      </c>
    </row>
    <row r="107" spans="1:12" ht="20" customHeight="1" x14ac:dyDescent="0.15">
      <c r="A107" s="8" t="s">
        <v>454</v>
      </c>
      <c r="B107" s="9" t="s">
        <v>455</v>
      </c>
      <c r="C107" s="10">
        <v>2022</v>
      </c>
      <c r="D107" s="11" t="s">
        <v>456</v>
      </c>
      <c r="E107" s="11" t="s">
        <v>321</v>
      </c>
      <c r="F107" s="11" t="s">
        <v>75</v>
      </c>
      <c r="G107" s="11" t="s">
        <v>457</v>
      </c>
      <c r="H107" s="11" t="s">
        <v>458</v>
      </c>
      <c r="I107" s="11" t="s">
        <v>459</v>
      </c>
      <c r="J107" s="10">
        <v>0</v>
      </c>
      <c r="K107" s="10">
        <v>0</v>
      </c>
      <c r="L107" s="11" t="s">
        <v>29</v>
      </c>
    </row>
    <row r="108" spans="1:12" ht="20" customHeight="1" x14ac:dyDescent="0.15">
      <c r="A108" s="8" t="s">
        <v>460</v>
      </c>
      <c r="B108" s="9" t="s">
        <v>461</v>
      </c>
      <c r="C108" s="10">
        <v>2022</v>
      </c>
      <c r="D108" s="11" t="s">
        <v>25</v>
      </c>
      <c r="E108" s="11" t="s">
        <v>321</v>
      </c>
      <c r="F108" s="11" t="s">
        <v>75</v>
      </c>
      <c r="G108" s="11" t="s">
        <v>462</v>
      </c>
      <c r="H108" s="11" t="s">
        <v>463</v>
      </c>
      <c r="I108" s="11" t="s">
        <v>464</v>
      </c>
      <c r="J108" s="10">
        <v>0</v>
      </c>
      <c r="K108" s="10">
        <v>0</v>
      </c>
      <c r="L108" s="11" t="s">
        <v>29</v>
      </c>
    </row>
    <row r="109" spans="1:12" ht="20" customHeight="1" x14ac:dyDescent="0.15">
      <c r="A109" s="8" t="s">
        <v>465</v>
      </c>
      <c r="B109" s="9" t="s">
        <v>466</v>
      </c>
      <c r="C109" s="10">
        <v>2022</v>
      </c>
      <c r="D109" s="11" t="s">
        <v>467</v>
      </c>
      <c r="E109" s="11" t="s">
        <v>321</v>
      </c>
      <c r="F109" s="11" t="s">
        <v>75</v>
      </c>
      <c r="G109" s="11" t="s">
        <v>468</v>
      </c>
      <c r="H109" s="11" t="s">
        <v>469</v>
      </c>
      <c r="I109" s="11" t="s">
        <v>470</v>
      </c>
      <c r="J109" s="10">
        <v>0</v>
      </c>
      <c r="K109" s="10">
        <v>0</v>
      </c>
      <c r="L109" s="11" t="s">
        <v>29</v>
      </c>
    </row>
    <row r="110" spans="1:12" ht="20" customHeight="1" x14ac:dyDescent="0.15">
      <c r="A110" s="8" t="s">
        <v>471</v>
      </c>
      <c r="B110" s="9" t="s">
        <v>472</v>
      </c>
      <c r="C110" s="10">
        <v>2022</v>
      </c>
      <c r="D110" s="11" t="s">
        <v>420</v>
      </c>
      <c r="E110" s="11" t="s">
        <v>321</v>
      </c>
      <c r="F110" s="11" t="s">
        <v>32</v>
      </c>
      <c r="G110" s="11" t="s">
        <v>473</v>
      </c>
      <c r="H110" s="11" t="s">
        <v>474</v>
      </c>
      <c r="I110" s="11" t="s">
        <v>475</v>
      </c>
      <c r="J110" s="10">
        <v>0</v>
      </c>
      <c r="K110" s="10">
        <v>0</v>
      </c>
      <c r="L110" s="11" t="s">
        <v>29</v>
      </c>
    </row>
    <row r="111" spans="1:12" ht="20" customHeight="1" x14ac:dyDescent="0.15">
      <c r="A111" s="8" t="s">
        <v>476</v>
      </c>
      <c r="B111" s="9" t="s">
        <v>477</v>
      </c>
      <c r="C111" s="10">
        <v>2021</v>
      </c>
      <c r="D111" s="11" t="s">
        <v>143</v>
      </c>
      <c r="E111" s="11" t="s">
        <v>321</v>
      </c>
      <c r="F111" s="11" t="s">
        <v>75</v>
      </c>
      <c r="G111" s="11" t="s">
        <v>478</v>
      </c>
      <c r="H111" s="11" t="s">
        <v>479</v>
      </c>
      <c r="I111" s="11" t="s">
        <v>480</v>
      </c>
      <c r="J111" s="10">
        <v>0</v>
      </c>
      <c r="K111" s="10">
        <v>0</v>
      </c>
      <c r="L111" s="11" t="s">
        <v>29</v>
      </c>
    </row>
    <row r="112" spans="1:12" ht="20" customHeight="1" x14ac:dyDescent="0.15">
      <c r="A112" s="8" t="s">
        <v>481</v>
      </c>
      <c r="B112" s="9" t="s">
        <v>482</v>
      </c>
      <c r="C112" s="10">
        <v>2021</v>
      </c>
      <c r="D112" s="11" t="s">
        <v>483</v>
      </c>
      <c r="E112" s="11" t="s">
        <v>321</v>
      </c>
      <c r="F112" s="11" t="s">
        <v>75</v>
      </c>
      <c r="G112" s="11" t="s">
        <v>484</v>
      </c>
      <c r="H112" s="11" t="s">
        <v>485</v>
      </c>
      <c r="I112" s="11" t="s">
        <v>486</v>
      </c>
      <c r="J112" s="10">
        <v>0</v>
      </c>
      <c r="K112" s="10">
        <v>0</v>
      </c>
      <c r="L112" s="11" t="s">
        <v>29</v>
      </c>
    </row>
    <row r="113" spans="1:12" ht="20" customHeight="1" x14ac:dyDescent="0.15">
      <c r="A113" s="8" t="s">
        <v>487</v>
      </c>
      <c r="B113" s="9" t="s">
        <v>488</v>
      </c>
      <c r="C113" s="10">
        <v>2021</v>
      </c>
      <c r="D113" s="11" t="s">
        <v>126</v>
      </c>
      <c r="E113" s="11" t="s">
        <v>321</v>
      </c>
      <c r="F113" s="11" t="s">
        <v>17</v>
      </c>
      <c r="G113" s="11" t="s">
        <v>489</v>
      </c>
      <c r="H113" s="11" t="s">
        <v>490</v>
      </c>
      <c r="I113" s="11" t="s">
        <v>491</v>
      </c>
      <c r="J113" s="10">
        <v>0</v>
      </c>
      <c r="K113" s="10">
        <v>0</v>
      </c>
      <c r="L113" s="11" t="s">
        <v>29</v>
      </c>
    </row>
    <row r="114" spans="1:12" ht="20" customHeight="1" x14ac:dyDescent="0.15">
      <c r="A114" s="8" t="s">
        <v>492</v>
      </c>
      <c r="B114" s="9" t="s">
        <v>493</v>
      </c>
      <c r="C114" s="10">
        <v>2021</v>
      </c>
      <c r="D114" s="11" t="s">
        <v>15</v>
      </c>
      <c r="E114" s="11" t="s">
        <v>321</v>
      </c>
      <c r="F114" s="11" t="s">
        <v>75</v>
      </c>
      <c r="G114" s="12"/>
      <c r="H114" s="12"/>
      <c r="I114" s="11" t="s">
        <v>494</v>
      </c>
      <c r="J114" s="10">
        <v>0</v>
      </c>
      <c r="K114" s="10">
        <v>0</v>
      </c>
      <c r="L114" s="11" t="s">
        <v>19</v>
      </c>
    </row>
    <row r="115" spans="1:12" ht="20" customHeight="1" x14ac:dyDescent="0.15">
      <c r="A115" s="8" t="s">
        <v>495</v>
      </c>
      <c r="B115" s="9" t="s">
        <v>496</v>
      </c>
      <c r="C115" s="10">
        <v>2021</v>
      </c>
      <c r="D115" s="11" t="s">
        <v>25</v>
      </c>
      <c r="E115" s="11" t="s">
        <v>321</v>
      </c>
      <c r="F115" s="11" t="s">
        <v>17</v>
      </c>
      <c r="G115" s="11" t="s">
        <v>497</v>
      </c>
      <c r="H115" s="11" t="s">
        <v>498</v>
      </c>
      <c r="I115" s="11" t="s">
        <v>499</v>
      </c>
      <c r="J115" s="10">
        <v>0</v>
      </c>
      <c r="K115" s="10">
        <v>0</v>
      </c>
      <c r="L115" s="11" t="s">
        <v>29</v>
      </c>
    </row>
    <row r="116" spans="1:12" ht="20" customHeight="1" x14ac:dyDescent="0.15">
      <c r="A116" s="8" t="s">
        <v>500</v>
      </c>
      <c r="B116" s="9" t="s">
        <v>501</v>
      </c>
      <c r="C116" s="10">
        <v>2021</v>
      </c>
      <c r="D116" s="11" t="s">
        <v>15</v>
      </c>
      <c r="E116" s="11" t="s">
        <v>321</v>
      </c>
      <c r="F116" s="11" t="s">
        <v>75</v>
      </c>
      <c r="G116" s="12"/>
      <c r="H116" s="11" t="s">
        <v>502</v>
      </c>
      <c r="I116" s="11" t="s">
        <v>503</v>
      </c>
      <c r="J116" s="10">
        <v>0</v>
      </c>
      <c r="K116" s="10">
        <v>0</v>
      </c>
      <c r="L116" s="11" t="s">
        <v>19</v>
      </c>
    </row>
    <row r="117" spans="1:12" ht="20" customHeight="1" x14ac:dyDescent="0.15">
      <c r="A117" s="8" t="s">
        <v>504</v>
      </c>
      <c r="B117" s="9" t="s">
        <v>505</v>
      </c>
      <c r="C117" s="10">
        <v>2021</v>
      </c>
      <c r="D117" s="11" t="s">
        <v>15</v>
      </c>
      <c r="E117" s="11" t="s">
        <v>321</v>
      </c>
      <c r="F117" s="11" t="s">
        <v>75</v>
      </c>
      <c r="G117" s="12"/>
      <c r="H117" s="12"/>
      <c r="I117" s="11" t="s">
        <v>506</v>
      </c>
      <c r="J117" s="10">
        <v>0</v>
      </c>
      <c r="K117" s="10">
        <v>0</v>
      </c>
      <c r="L117" s="11" t="s">
        <v>19</v>
      </c>
    </row>
    <row r="118" spans="1:12" ht="20" customHeight="1" x14ac:dyDescent="0.15">
      <c r="A118" s="8" t="s">
        <v>507</v>
      </c>
      <c r="B118" s="9" t="s">
        <v>508</v>
      </c>
      <c r="C118" s="10">
        <v>2021</v>
      </c>
      <c r="D118" s="11" t="s">
        <v>15</v>
      </c>
      <c r="E118" s="11" t="s">
        <v>321</v>
      </c>
      <c r="F118" s="11" t="s">
        <v>75</v>
      </c>
      <c r="G118" s="12"/>
      <c r="H118" s="12"/>
      <c r="I118" s="11" t="s">
        <v>509</v>
      </c>
      <c r="J118" s="10">
        <v>0</v>
      </c>
      <c r="K118" s="10">
        <v>0</v>
      </c>
      <c r="L118" s="11" t="s">
        <v>19</v>
      </c>
    </row>
    <row r="119" spans="1:12" ht="20" customHeight="1" x14ac:dyDescent="0.15">
      <c r="A119" s="8" t="s">
        <v>510</v>
      </c>
      <c r="B119" s="9" t="s">
        <v>511</v>
      </c>
      <c r="C119" s="10">
        <v>2021</v>
      </c>
      <c r="D119" s="11" t="s">
        <v>512</v>
      </c>
      <c r="E119" s="11" t="s">
        <v>321</v>
      </c>
      <c r="F119" s="11" t="s">
        <v>32</v>
      </c>
      <c r="G119" s="11" t="s">
        <v>513</v>
      </c>
      <c r="H119" s="11" t="s">
        <v>514</v>
      </c>
      <c r="I119" s="11" t="s">
        <v>515</v>
      </c>
      <c r="J119" s="10">
        <v>0</v>
      </c>
      <c r="K119" s="10">
        <v>0</v>
      </c>
      <c r="L119" s="11" t="s">
        <v>29</v>
      </c>
    </row>
    <row r="120" spans="1:12" ht="20" customHeight="1" x14ac:dyDescent="0.15">
      <c r="A120" s="8" t="s">
        <v>516</v>
      </c>
      <c r="B120" s="9" t="s">
        <v>517</v>
      </c>
      <c r="C120" s="10">
        <v>2021</v>
      </c>
      <c r="D120" s="11" t="s">
        <v>512</v>
      </c>
      <c r="E120" s="11" t="s">
        <v>321</v>
      </c>
      <c r="F120" s="11" t="s">
        <v>32</v>
      </c>
      <c r="G120" s="11" t="s">
        <v>518</v>
      </c>
      <c r="H120" s="11" t="s">
        <v>519</v>
      </c>
      <c r="I120" s="11" t="s">
        <v>520</v>
      </c>
      <c r="J120" s="10">
        <v>0</v>
      </c>
      <c r="K120" s="10">
        <v>0</v>
      </c>
      <c r="L120" s="11" t="s">
        <v>29</v>
      </c>
    </row>
    <row r="121" spans="1:12" ht="20" customHeight="1" x14ac:dyDescent="0.15">
      <c r="A121" s="8" t="s">
        <v>521</v>
      </c>
      <c r="B121" s="9" t="s">
        <v>522</v>
      </c>
      <c r="C121" s="10">
        <v>2021</v>
      </c>
      <c r="D121" s="11" t="s">
        <v>15</v>
      </c>
      <c r="E121" s="11" t="s">
        <v>321</v>
      </c>
      <c r="F121" s="11" t="s">
        <v>32</v>
      </c>
      <c r="G121" s="12"/>
      <c r="H121" s="11" t="s">
        <v>523</v>
      </c>
      <c r="I121" s="11" t="s">
        <v>524</v>
      </c>
      <c r="J121" s="10">
        <v>0</v>
      </c>
      <c r="K121" s="10">
        <v>0</v>
      </c>
      <c r="L121" s="11" t="s">
        <v>19</v>
      </c>
    </row>
    <row r="122" spans="1:12" ht="20" customHeight="1" x14ac:dyDescent="0.15">
      <c r="A122" s="8" t="s">
        <v>525</v>
      </c>
      <c r="B122" s="9" t="s">
        <v>526</v>
      </c>
      <c r="C122" s="10">
        <v>2020</v>
      </c>
      <c r="D122" s="11" t="s">
        <v>25</v>
      </c>
      <c r="E122" s="11" t="s">
        <v>321</v>
      </c>
      <c r="F122" s="11" t="s">
        <v>75</v>
      </c>
      <c r="G122" s="11" t="s">
        <v>527</v>
      </c>
      <c r="H122" s="11" t="s">
        <v>528</v>
      </c>
      <c r="I122" s="11" t="s">
        <v>529</v>
      </c>
      <c r="J122" s="10">
        <v>0</v>
      </c>
      <c r="K122" s="10">
        <v>0</v>
      </c>
      <c r="L122" s="11" t="s">
        <v>29</v>
      </c>
    </row>
    <row r="123" spans="1:12" ht="20" customHeight="1" x14ac:dyDescent="0.15">
      <c r="A123" s="8" t="s">
        <v>530</v>
      </c>
      <c r="B123" s="9" t="s">
        <v>531</v>
      </c>
      <c r="C123" s="10">
        <v>2020</v>
      </c>
      <c r="D123" s="11" t="s">
        <v>532</v>
      </c>
      <c r="E123" s="11" t="s">
        <v>321</v>
      </c>
      <c r="F123" s="11" t="s">
        <v>75</v>
      </c>
      <c r="G123" s="11" t="s">
        <v>533</v>
      </c>
      <c r="H123" s="11" t="s">
        <v>534</v>
      </c>
      <c r="I123" s="11" t="s">
        <v>535</v>
      </c>
      <c r="J123" s="10">
        <v>0</v>
      </c>
      <c r="K123" s="10">
        <v>0</v>
      </c>
      <c r="L123" s="11" t="s">
        <v>29</v>
      </c>
    </row>
    <row r="124" spans="1:12" ht="20" customHeight="1" x14ac:dyDescent="0.15">
      <c r="A124" s="8" t="s">
        <v>536</v>
      </c>
      <c r="B124" s="9" t="s">
        <v>537</v>
      </c>
      <c r="C124" s="10">
        <v>2020</v>
      </c>
      <c r="D124" s="11" t="s">
        <v>538</v>
      </c>
      <c r="E124" s="11" t="s">
        <v>321</v>
      </c>
      <c r="F124" s="11" t="s">
        <v>75</v>
      </c>
      <c r="G124" s="11" t="s">
        <v>539</v>
      </c>
      <c r="H124" s="11" t="s">
        <v>540</v>
      </c>
      <c r="I124" s="11" t="s">
        <v>541</v>
      </c>
      <c r="J124" s="10">
        <v>0</v>
      </c>
      <c r="K124" s="10">
        <v>0</v>
      </c>
      <c r="L124" s="11" t="s">
        <v>29</v>
      </c>
    </row>
    <row r="125" spans="1:12" ht="20" customHeight="1" x14ac:dyDescent="0.15">
      <c r="A125" s="8" t="s">
        <v>542</v>
      </c>
      <c r="B125" s="9" t="s">
        <v>543</v>
      </c>
      <c r="C125" s="10">
        <v>2020</v>
      </c>
      <c r="D125" s="11" t="s">
        <v>25</v>
      </c>
      <c r="E125" s="11" t="s">
        <v>321</v>
      </c>
      <c r="F125" s="11" t="s">
        <v>75</v>
      </c>
      <c r="G125" s="11" t="s">
        <v>544</v>
      </c>
      <c r="H125" s="11" t="s">
        <v>545</v>
      </c>
      <c r="I125" s="11" t="s">
        <v>546</v>
      </c>
      <c r="J125" s="10">
        <v>0</v>
      </c>
      <c r="K125" s="10">
        <v>0</v>
      </c>
      <c r="L125" s="11" t="s">
        <v>29</v>
      </c>
    </row>
    <row r="126" spans="1:12" ht="20" customHeight="1" x14ac:dyDescent="0.15">
      <c r="A126" s="8" t="s">
        <v>547</v>
      </c>
      <c r="B126" s="9" t="s">
        <v>548</v>
      </c>
      <c r="C126" s="10">
        <v>2020</v>
      </c>
      <c r="D126" s="11" t="s">
        <v>549</v>
      </c>
      <c r="E126" s="11" t="s">
        <v>321</v>
      </c>
      <c r="F126" s="11" t="s">
        <v>32</v>
      </c>
      <c r="G126" s="11" t="s">
        <v>550</v>
      </c>
      <c r="H126" s="11" t="s">
        <v>551</v>
      </c>
      <c r="I126" s="11" t="s">
        <v>552</v>
      </c>
      <c r="J126" s="10">
        <v>0</v>
      </c>
      <c r="K126" s="10">
        <v>0</v>
      </c>
      <c r="L126" s="11" t="s">
        <v>29</v>
      </c>
    </row>
    <row r="127" spans="1:12" ht="20" customHeight="1" x14ac:dyDescent="0.15">
      <c r="A127" s="8" t="s">
        <v>553</v>
      </c>
      <c r="B127" s="9" t="s">
        <v>554</v>
      </c>
      <c r="C127" s="10">
        <v>2020</v>
      </c>
      <c r="D127" s="11" t="s">
        <v>15</v>
      </c>
      <c r="E127" s="11" t="s">
        <v>321</v>
      </c>
      <c r="F127" s="11" t="s">
        <v>32</v>
      </c>
      <c r="G127" s="12"/>
      <c r="H127" s="11" t="s">
        <v>555</v>
      </c>
      <c r="I127" s="11" t="s">
        <v>556</v>
      </c>
      <c r="J127" s="10">
        <v>0</v>
      </c>
      <c r="K127" s="10">
        <v>0</v>
      </c>
      <c r="L127" s="11" t="s">
        <v>19</v>
      </c>
    </row>
    <row r="128" spans="1:12" ht="20" customHeight="1" x14ac:dyDescent="0.15">
      <c r="A128" s="8" t="s">
        <v>557</v>
      </c>
      <c r="B128" s="9" t="s">
        <v>558</v>
      </c>
      <c r="C128" s="10">
        <v>2020</v>
      </c>
      <c r="D128" s="11" t="s">
        <v>559</v>
      </c>
      <c r="E128" s="11" t="s">
        <v>321</v>
      </c>
      <c r="F128" s="11" t="s">
        <v>32</v>
      </c>
      <c r="G128" s="11" t="s">
        <v>560</v>
      </c>
      <c r="H128" s="11" t="s">
        <v>561</v>
      </c>
      <c r="I128" s="11" t="s">
        <v>562</v>
      </c>
      <c r="J128" s="10">
        <v>0</v>
      </c>
      <c r="K128" s="10">
        <v>0</v>
      </c>
      <c r="L128" s="11" t="s">
        <v>29</v>
      </c>
    </row>
    <row r="129" spans="1:12" ht="20" customHeight="1" x14ac:dyDescent="0.15">
      <c r="A129" s="8" t="s">
        <v>563</v>
      </c>
      <c r="B129" s="9" t="s">
        <v>564</v>
      </c>
      <c r="C129" s="10">
        <v>2019</v>
      </c>
      <c r="D129" s="11" t="s">
        <v>565</v>
      </c>
      <c r="E129" s="11" t="s">
        <v>321</v>
      </c>
      <c r="F129" s="11" t="s">
        <v>75</v>
      </c>
      <c r="G129" s="11" t="s">
        <v>566</v>
      </c>
      <c r="H129" s="11" t="s">
        <v>567</v>
      </c>
      <c r="I129" s="11" t="s">
        <v>568</v>
      </c>
      <c r="J129" s="10">
        <v>0</v>
      </c>
      <c r="K129" s="10">
        <v>0</v>
      </c>
      <c r="L129" s="11" t="s">
        <v>29</v>
      </c>
    </row>
    <row r="130" spans="1:12" ht="20" customHeight="1" x14ac:dyDescent="0.15">
      <c r="A130" s="8" t="s">
        <v>569</v>
      </c>
      <c r="B130" s="9" t="s">
        <v>570</v>
      </c>
      <c r="C130" s="10">
        <v>2019</v>
      </c>
      <c r="D130" s="11" t="s">
        <v>571</v>
      </c>
      <c r="E130" s="11" t="s">
        <v>321</v>
      </c>
      <c r="F130" s="11" t="s">
        <v>32</v>
      </c>
      <c r="G130" s="11" t="s">
        <v>572</v>
      </c>
      <c r="H130" s="11" t="s">
        <v>573</v>
      </c>
      <c r="I130" s="11" t="s">
        <v>574</v>
      </c>
      <c r="J130" s="10">
        <v>0</v>
      </c>
      <c r="K130" s="10">
        <v>0</v>
      </c>
      <c r="L130" s="11" t="s">
        <v>29</v>
      </c>
    </row>
    <row r="131" spans="1:12" ht="20" customHeight="1" x14ac:dyDescent="0.15">
      <c r="A131" s="8" t="s">
        <v>575</v>
      </c>
      <c r="B131" s="9" t="s">
        <v>576</v>
      </c>
      <c r="C131" s="10">
        <v>2019</v>
      </c>
      <c r="D131" s="12"/>
      <c r="E131" s="11" t="s">
        <v>321</v>
      </c>
      <c r="F131" s="11" t="s">
        <v>75</v>
      </c>
      <c r="G131" s="11" t="s">
        <v>577</v>
      </c>
      <c r="H131" s="11" t="s">
        <v>578</v>
      </c>
      <c r="I131" s="12"/>
      <c r="J131" s="10">
        <v>0</v>
      </c>
      <c r="K131" s="10">
        <v>1</v>
      </c>
      <c r="L131" s="11" t="s">
        <v>78</v>
      </c>
    </row>
    <row r="132" spans="1:12" ht="20" customHeight="1" x14ac:dyDescent="0.15">
      <c r="A132" s="8" t="s">
        <v>579</v>
      </c>
      <c r="B132" s="9" t="s">
        <v>580</v>
      </c>
      <c r="C132" s="10">
        <v>2019</v>
      </c>
      <c r="D132" s="12"/>
      <c r="E132" s="11" t="s">
        <v>321</v>
      </c>
      <c r="F132" s="11" t="s">
        <v>75</v>
      </c>
      <c r="G132" s="11" t="s">
        <v>581</v>
      </c>
      <c r="H132" s="11" t="s">
        <v>582</v>
      </c>
      <c r="I132" s="12"/>
      <c r="J132" s="10">
        <v>0</v>
      </c>
      <c r="K132" s="10">
        <v>1</v>
      </c>
      <c r="L132" s="11" t="s">
        <v>78</v>
      </c>
    </row>
    <row r="133" spans="1:12" ht="20" customHeight="1" x14ac:dyDescent="0.15">
      <c r="A133" s="8" t="s">
        <v>583</v>
      </c>
      <c r="B133" s="9" t="s">
        <v>584</v>
      </c>
      <c r="C133" s="10">
        <v>2018</v>
      </c>
      <c r="D133" s="11" t="s">
        <v>126</v>
      </c>
      <c r="E133" s="11" t="s">
        <v>321</v>
      </c>
      <c r="F133" s="11" t="s">
        <v>75</v>
      </c>
      <c r="G133" s="11" t="s">
        <v>585</v>
      </c>
      <c r="H133" s="11" t="s">
        <v>586</v>
      </c>
      <c r="I133" s="11" t="s">
        <v>587</v>
      </c>
      <c r="J133" s="10">
        <v>0</v>
      </c>
      <c r="K133" s="10">
        <v>0</v>
      </c>
      <c r="L133" s="11" t="s">
        <v>29</v>
      </c>
    </row>
    <row r="134" spans="1:12" ht="20" customHeight="1" x14ac:dyDescent="0.15">
      <c r="A134" s="8" t="s">
        <v>588</v>
      </c>
      <c r="B134" s="9" t="s">
        <v>589</v>
      </c>
      <c r="C134" s="10">
        <v>2017</v>
      </c>
      <c r="D134" s="11" t="s">
        <v>590</v>
      </c>
      <c r="E134" s="11" t="s">
        <v>321</v>
      </c>
      <c r="F134" s="11" t="s">
        <v>32</v>
      </c>
      <c r="G134" s="11" t="s">
        <v>311</v>
      </c>
      <c r="H134" s="11" t="s">
        <v>591</v>
      </c>
      <c r="I134" s="11" t="s">
        <v>592</v>
      </c>
      <c r="J134" s="10">
        <v>0</v>
      </c>
      <c r="K134" s="10">
        <v>0</v>
      </c>
      <c r="L134" s="11" t="s">
        <v>29</v>
      </c>
    </row>
    <row r="135" spans="1:12" ht="20" customHeight="1" x14ac:dyDescent="0.15">
      <c r="A135" s="8" t="s">
        <v>593</v>
      </c>
      <c r="B135" s="9" t="s">
        <v>594</v>
      </c>
      <c r="C135" s="10">
        <v>2017</v>
      </c>
      <c r="D135" s="12"/>
      <c r="E135" s="11" t="s">
        <v>321</v>
      </c>
      <c r="F135" s="11" t="s">
        <v>75</v>
      </c>
      <c r="G135" s="11" t="s">
        <v>595</v>
      </c>
      <c r="H135" s="11" t="s">
        <v>596</v>
      </c>
      <c r="I135" s="12"/>
      <c r="J135" s="10">
        <v>0</v>
      </c>
      <c r="K135" s="10">
        <v>1</v>
      </c>
      <c r="L135" s="11" t="s">
        <v>78</v>
      </c>
    </row>
    <row r="136" spans="1:12" ht="20" customHeight="1" x14ac:dyDescent="0.15">
      <c r="A136" s="8" t="s">
        <v>597</v>
      </c>
      <c r="B136" s="9" t="s">
        <v>598</v>
      </c>
      <c r="C136" s="10">
        <v>2026</v>
      </c>
      <c r="D136" s="11" t="s">
        <v>15</v>
      </c>
      <c r="E136" s="11" t="s">
        <v>599</v>
      </c>
      <c r="F136" s="11" t="s">
        <v>17</v>
      </c>
      <c r="G136" s="12"/>
      <c r="H136" s="12"/>
      <c r="I136" s="11" t="s">
        <v>600</v>
      </c>
      <c r="J136" s="10">
        <v>0</v>
      </c>
      <c r="K136" s="10">
        <v>0</v>
      </c>
      <c r="L136" s="11" t="s">
        <v>19</v>
      </c>
    </row>
    <row r="137" spans="1:12" ht="20" customHeight="1" x14ac:dyDescent="0.15">
      <c r="A137" s="8" t="s">
        <v>601</v>
      </c>
      <c r="B137" s="9" t="s">
        <v>602</v>
      </c>
      <c r="C137" s="10">
        <v>2025</v>
      </c>
      <c r="D137" s="11" t="s">
        <v>15</v>
      </c>
      <c r="E137" s="11" t="s">
        <v>599</v>
      </c>
      <c r="F137" s="11" t="s">
        <v>32</v>
      </c>
      <c r="G137" s="12"/>
      <c r="H137" s="12"/>
      <c r="I137" s="11" t="s">
        <v>603</v>
      </c>
      <c r="J137" s="10">
        <v>0</v>
      </c>
      <c r="K137" s="10">
        <v>0</v>
      </c>
      <c r="L137" s="11" t="s">
        <v>19</v>
      </c>
    </row>
    <row r="138" spans="1:12" ht="20" customHeight="1" x14ac:dyDescent="0.15">
      <c r="A138" s="8" t="s">
        <v>604</v>
      </c>
      <c r="B138" s="9" t="s">
        <v>605</v>
      </c>
      <c r="C138" s="10">
        <v>2024</v>
      </c>
      <c r="D138" s="11" t="s">
        <v>606</v>
      </c>
      <c r="E138" s="11" t="s">
        <v>599</v>
      </c>
      <c r="F138" s="11" t="s">
        <v>75</v>
      </c>
      <c r="G138" s="11" t="s">
        <v>607</v>
      </c>
      <c r="H138" s="11" t="s">
        <v>608</v>
      </c>
      <c r="I138" s="11" t="s">
        <v>609</v>
      </c>
      <c r="J138" s="10">
        <v>0</v>
      </c>
      <c r="K138" s="10">
        <v>0</v>
      </c>
      <c r="L138" s="11" t="s">
        <v>29</v>
      </c>
    </row>
    <row r="139" spans="1:12" ht="20" customHeight="1" x14ac:dyDescent="0.15">
      <c r="A139" s="8" t="s">
        <v>610</v>
      </c>
      <c r="B139" s="9" t="s">
        <v>611</v>
      </c>
      <c r="C139" s="10">
        <v>2024</v>
      </c>
      <c r="D139" s="11" t="s">
        <v>25</v>
      </c>
      <c r="E139" s="11" t="s">
        <v>599</v>
      </c>
      <c r="F139" s="11" t="s">
        <v>32</v>
      </c>
      <c r="G139" s="11" t="s">
        <v>612</v>
      </c>
      <c r="H139" s="11" t="s">
        <v>613</v>
      </c>
      <c r="I139" s="11" t="s">
        <v>614</v>
      </c>
      <c r="J139" s="10">
        <v>1</v>
      </c>
      <c r="K139" s="10">
        <v>0</v>
      </c>
      <c r="L139" s="11" t="s">
        <v>29</v>
      </c>
    </row>
    <row r="140" spans="1:12" ht="20" customHeight="1" x14ac:dyDescent="0.15">
      <c r="A140" s="8" t="s">
        <v>615</v>
      </c>
      <c r="B140" s="9" t="s">
        <v>616</v>
      </c>
      <c r="C140" s="10">
        <v>2023</v>
      </c>
      <c r="D140" s="11" t="s">
        <v>25</v>
      </c>
      <c r="E140" s="11" t="s">
        <v>599</v>
      </c>
      <c r="F140" s="11" t="s">
        <v>32</v>
      </c>
      <c r="G140" s="11" t="s">
        <v>617</v>
      </c>
      <c r="H140" s="11" t="s">
        <v>618</v>
      </c>
      <c r="I140" s="11" t="s">
        <v>619</v>
      </c>
      <c r="J140" s="10">
        <v>1</v>
      </c>
      <c r="K140" s="10">
        <v>0</v>
      </c>
      <c r="L140" s="11" t="s">
        <v>29</v>
      </c>
    </row>
    <row r="141" spans="1:12" ht="20" customHeight="1" x14ac:dyDescent="0.15">
      <c r="A141" s="8" t="s">
        <v>620</v>
      </c>
      <c r="B141" s="9" t="s">
        <v>621</v>
      </c>
      <c r="C141" s="10">
        <v>2022</v>
      </c>
      <c r="D141" s="11" t="s">
        <v>622</v>
      </c>
      <c r="E141" s="11" t="s">
        <v>599</v>
      </c>
      <c r="F141" s="11" t="s">
        <v>32</v>
      </c>
      <c r="G141" s="11" t="s">
        <v>45</v>
      </c>
      <c r="H141" s="11" t="s">
        <v>623</v>
      </c>
      <c r="I141" s="11" t="s">
        <v>624</v>
      </c>
      <c r="J141" s="10">
        <v>0</v>
      </c>
      <c r="K141" s="10">
        <v>0</v>
      </c>
      <c r="L141" s="11" t="s">
        <v>29</v>
      </c>
    </row>
    <row r="142" spans="1:12" ht="20" customHeight="1" x14ac:dyDescent="0.15">
      <c r="A142" s="8" t="s">
        <v>625</v>
      </c>
      <c r="B142" s="9" t="s">
        <v>626</v>
      </c>
      <c r="C142" s="10">
        <v>2020</v>
      </c>
      <c r="D142" s="11" t="s">
        <v>559</v>
      </c>
      <c r="E142" s="11" t="s">
        <v>599</v>
      </c>
      <c r="F142" s="11" t="s">
        <v>17</v>
      </c>
      <c r="G142" s="11" t="s">
        <v>627</v>
      </c>
      <c r="H142" s="11" t="s">
        <v>628</v>
      </c>
      <c r="I142" s="11" t="s">
        <v>629</v>
      </c>
      <c r="J142" s="10">
        <v>0</v>
      </c>
      <c r="K142" s="10">
        <v>0</v>
      </c>
      <c r="L142" s="11" t="s">
        <v>29</v>
      </c>
    </row>
    <row r="143" spans="1:12" ht="20" customHeight="1" x14ac:dyDescent="0.15">
      <c r="A143" s="8" t="s">
        <v>630</v>
      </c>
      <c r="B143" s="9" t="s">
        <v>631</v>
      </c>
      <c r="C143" s="10">
        <v>2017</v>
      </c>
      <c r="D143" s="11" t="s">
        <v>559</v>
      </c>
      <c r="E143" s="11" t="s">
        <v>599</v>
      </c>
      <c r="F143" s="11" t="s">
        <v>17</v>
      </c>
      <c r="G143" s="11" t="s">
        <v>389</v>
      </c>
      <c r="H143" s="11" t="s">
        <v>632</v>
      </c>
      <c r="I143" s="11" t="s">
        <v>633</v>
      </c>
      <c r="J143" s="10">
        <v>0</v>
      </c>
      <c r="K143" s="10">
        <v>0</v>
      </c>
      <c r="L143" s="11" t="s">
        <v>29</v>
      </c>
    </row>
    <row r="144" spans="1:12" ht="20" customHeight="1" x14ac:dyDescent="0.15">
      <c r="A144" s="8" t="s">
        <v>634</v>
      </c>
      <c r="B144" s="9" t="s">
        <v>635</v>
      </c>
      <c r="C144" s="10">
        <v>2010</v>
      </c>
      <c r="D144" s="11" t="s">
        <v>187</v>
      </c>
      <c r="E144" s="11" t="s">
        <v>599</v>
      </c>
      <c r="F144" s="11" t="s">
        <v>75</v>
      </c>
      <c r="G144" s="11" t="s">
        <v>636</v>
      </c>
      <c r="H144" s="11" t="s">
        <v>637</v>
      </c>
      <c r="I144" s="12"/>
      <c r="J144" s="10">
        <v>0</v>
      </c>
      <c r="K144" s="10">
        <v>1</v>
      </c>
      <c r="L144" s="11" t="s">
        <v>78</v>
      </c>
    </row>
    <row r="145" spans="1:12" ht="20" customHeight="1" x14ac:dyDescent="0.15">
      <c r="A145" s="8" t="s">
        <v>638</v>
      </c>
      <c r="B145" s="9" t="s">
        <v>639</v>
      </c>
      <c r="C145" s="10">
        <v>2026</v>
      </c>
      <c r="D145" s="11" t="s">
        <v>15</v>
      </c>
      <c r="E145" s="11" t="s">
        <v>640</v>
      </c>
      <c r="F145" s="11" t="s">
        <v>75</v>
      </c>
      <c r="G145" s="12"/>
      <c r="H145" s="12"/>
      <c r="I145" s="11" t="s">
        <v>641</v>
      </c>
      <c r="J145" s="10">
        <v>0</v>
      </c>
      <c r="K145" s="10">
        <v>0</v>
      </c>
      <c r="L145" s="11" t="s">
        <v>19</v>
      </c>
    </row>
    <row r="146" spans="1:12" ht="20" customHeight="1" x14ac:dyDescent="0.15">
      <c r="A146" s="8" t="s">
        <v>642</v>
      </c>
      <c r="B146" s="9" t="s">
        <v>643</v>
      </c>
      <c r="C146" s="10">
        <v>2026</v>
      </c>
      <c r="D146" s="11" t="s">
        <v>15</v>
      </c>
      <c r="E146" s="11" t="s">
        <v>640</v>
      </c>
      <c r="F146" s="11" t="s">
        <v>75</v>
      </c>
      <c r="G146" s="12"/>
      <c r="H146" s="12"/>
      <c r="I146" s="11" t="s">
        <v>644</v>
      </c>
      <c r="J146" s="10">
        <v>0</v>
      </c>
      <c r="K146" s="10">
        <v>0</v>
      </c>
      <c r="L146" s="11" t="s">
        <v>19</v>
      </c>
    </row>
    <row r="147" spans="1:12" ht="20" customHeight="1" x14ac:dyDescent="0.15">
      <c r="A147" s="8" t="s">
        <v>645</v>
      </c>
      <c r="B147" s="9" t="s">
        <v>646</v>
      </c>
      <c r="C147" s="10">
        <v>2026</v>
      </c>
      <c r="D147" s="11" t="s">
        <v>15</v>
      </c>
      <c r="E147" s="11" t="s">
        <v>640</v>
      </c>
      <c r="F147" s="11" t="s">
        <v>75</v>
      </c>
      <c r="G147" s="12"/>
      <c r="H147" s="12"/>
      <c r="I147" s="11" t="s">
        <v>647</v>
      </c>
      <c r="J147" s="10">
        <v>0</v>
      </c>
      <c r="K147" s="10">
        <v>0</v>
      </c>
      <c r="L147" s="11" t="s">
        <v>19</v>
      </c>
    </row>
    <row r="148" spans="1:12" ht="20" customHeight="1" x14ac:dyDescent="0.15">
      <c r="A148" s="8" t="s">
        <v>648</v>
      </c>
      <c r="B148" s="9" t="s">
        <v>649</v>
      </c>
      <c r="C148" s="10">
        <v>2026</v>
      </c>
      <c r="D148" s="11" t="s">
        <v>15</v>
      </c>
      <c r="E148" s="11" t="s">
        <v>640</v>
      </c>
      <c r="F148" s="11" t="s">
        <v>75</v>
      </c>
      <c r="G148" s="12"/>
      <c r="H148" s="12"/>
      <c r="I148" s="11" t="s">
        <v>650</v>
      </c>
      <c r="J148" s="10">
        <v>0</v>
      </c>
      <c r="K148" s="10">
        <v>0</v>
      </c>
      <c r="L148" s="11" t="s">
        <v>19</v>
      </c>
    </row>
    <row r="149" spans="1:12" ht="20" customHeight="1" x14ac:dyDescent="0.15">
      <c r="A149" s="8" t="s">
        <v>651</v>
      </c>
      <c r="B149" s="9" t="s">
        <v>652</v>
      </c>
      <c r="C149" s="10">
        <v>2026</v>
      </c>
      <c r="D149" s="11" t="s">
        <v>15</v>
      </c>
      <c r="E149" s="11" t="s">
        <v>640</v>
      </c>
      <c r="F149" s="11" t="s">
        <v>17</v>
      </c>
      <c r="G149" s="12"/>
      <c r="H149" s="12"/>
      <c r="I149" s="11" t="s">
        <v>653</v>
      </c>
      <c r="J149" s="10">
        <v>0</v>
      </c>
      <c r="K149" s="10">
        <v>0</v>
      </c>
      <c r="L149" s="11" t="s">
        <v>19</v>
      </c>
    </row>
    <row r="150" spans="1:12" ht="20" customHeight="1" x14ac:dyDescent="0.15">
      <c r="A150" s="8" t="s">
        <v>654</v>
      </c>
      <c r="B150" s="9" t="s">
        <v>655</v>
      </c>
      <c r="C150" s="10">
        <v>2026</v>
      </c>
      <c r="D150" s="11" t="s">
        <v>15</v>
      </c>
      <c r="E150" s="11" t="s">
        <v>640</v>
      </c>
      <c r="F150" s="11" t="s">
        <v>75</v>
      </c>
      <c r="G150" s="12"/>
      <c r="H150" s="12"/>
      <c r="I150" s="11" t="s">
        <v>656</v>
      </c>
      <c r="J150" s="10">
        <v>0</v>
      </c>
      <c r="K150" s="10">
        <v>0</v>
      </c>
      <c r="L150" s="11" t="s">
        <v>19</v>
      </c>
    </row>
    <row r="151" spans="1:12" ht="20" customHeight="1" x14ac:dyDescent="0.15">
      <c r="A151" s="8" t="s">
        <v>657</v>
      </c>
      <c r="B151" s="9" t="s">
        <v>658</v>
      </c>
      <c r="C151" s="10">
        <v>2026</v>
      </c>
      <c r="D151" s="11" t="s">
        <v>659</v>
      </c>
      <c r="E151" s="11" t="s">
        <v>640</v>
      </c>
      <c r="F151" s="11" t="s">
        <v>75</v>
      </c>
      <c r="G151" s="11" t="s">
        <v>660</v>
      </c>
      <c r="H151" s="11" t="s">
        <v>661</v>
      </c>
      <c r="I151" s="11" t="s">
        <v>662</v>
      </c>
      <c r="J151" s="10">
        <v>0</v>
      </c>
      <c r="K151" s="10">
        <v>0</v>
      </c>
      <c r="L151" s="11" t="s">
        <v>29</v>
      </c>
    </row>
    <row r="152" spans="1:12" ht="20" customHeight="1" x14ac:dyDescent="0.15">
      <c r="A152" s="8" t="s">
        <v>663</v>
      </c>
      <c r="B152" s="9" t="s">
        <v>664</v>
      </c>
      <c r="C152" s="10">
        <v>2026</v>
      </c>
      <c r="D152" s="11" t="s">
        <v>15</v>
      </c>
      <c r="E152" s="11" t="s">
        <v>640</v>
      </c>
      <c r="F152" s="11" t="s">
        <v>75</v>
      </c>
      <c r="G152" s="12"/>
      <c r="H152" s="12"/>
      <c r="I152" s="11" t="s">
        <v>665</v>
      </c>
      <c r="J152" s="10">
        <v>0</v>
      </c>
      <c r="K152" s="10">
        <v>0</v>
      </c>
      <c r="L152" s="11" t="s">
        <v>19</v>
      </c>
    </row>
    <row r="153" spans="1:12" ht="20" customHeight="1" x14ac:dyDescent="0.15">
      <c r="A153" s="8" t="s">
        <v>666</v>
      </c>
      <c r="B153" s="9" t="s">
        <v>667</v>
      </c>
      <c r="C153" s="10">
        <v>2026</v>
      </c>
      <c r="D153" s="11" t="s">
        <v>15</v>
      </c>
      <c r="E153" s="11" t="s">
        <v>640</v>
      </c>
      <c r="F153" s="11" t="s">
        <v>75</v>
      </c>
      <c r="G153" s="12"/>
      <c r="H153" s="12"/>
      <c r="I153" s="11" t="s">
        <v>668</v>
      </c>
      <c r="J153" s="10">
        <v>0</v>
      </c>
      <c r="K153" s="10">
        <v>0</v>
      </c>
      <c r="L153" s="11" t="s">
        <v>19</v>
      </c>
    </row>
    <row r="154" spans="1:12" ht="20" customHeight="1" x14ac:dyDescent="0.15">
      <c r="A154" s="8" t="s">
        <v>669</v>
      </c>
      <c r="B154" s="9" t="s">
        <v>670</v>
      </c>
      <c r="C154" s="10">
        <v>2026</v>
      </c>
      <c r="D154" s="11" t="s">
        <v>15</v>
      </c>
      <c r="E154" s="11" t="s">
        <v>640</v>
      </c>
      <c r="F154" s="11" t="s">
        <v>75</v>
      </c>
      <c r="G154" s="12"/>
      <c r="H154" s="12"/>
      <c r="I154" s="11" t="s">
        <v>671</v>
      </c>
      <c r="J154" s="10">
        <v>0</v>
      </c>
      <c r="K154" s="10">
        <v>0</v>
      </c>
      <c r="L154" s="11" t="s">
        <v>19</v>
      </c>
    </row>
    <row r="155" spans="1:12" ht="20" customHeight="1" x14ac:dyDescent="0.15">
      <c r="A155" s="8" t="s">
        <v>672</v>
      </c>
      <c r="B155" s="9" t="s">
        <v>673</v>
      </c>
      <c r="C155" s="10">
        <v>2026</v>
      </c>
      <c r="D155" s="11" t="s">
        <v>15</v>
      </c>
      <c r="E155" s="11" t="s">
        <v>640</v>
      </c>
      <c r="F155" s="11" t="s">
        <v>17</v>
      </c>
      <c r="G155" s="12"/>
      <c r="H155" s="11" t="s">
        <v>674</v>
      </c>
      <c r="I155" s="11" t="s">
        <v>675</v>
      </c>
      <c r="J155" s="10">
        <v>0</v>
      </c>
      <c r="K155" s="10">
        <v>0</v>
      </c>
      <c r="L155" s="11" t="s">
        <v>19</v>
      </c>
    </row>
    <row r="156" spans="1:12" ht="20" customHeight="1" x14ac:dyDescent="0.15">
      <c r="A156" s="8" t="s">
        <v>676</v>
      </c>
      <c r="B156" s="9" t="s">
        <v>677</v>
      </c>
      <c r="C156" s="10">
        <v>2026</v>
      </c>
      <c r="D156" s="11" t="s">
        <v>15</v>
      </c>
      <c r="E156" s="11" t="s">
        <v>640</v>
      </c>
      <c r="F156" s="11" t="s">
        <v>75</v>
      </c>
      <c r="G156" s="12"/>
      <c r="H156" s="12"/>
      <c r="I156" s="11" t="s">
        <v>678</v>
      </c>
      <c r="J156" s="10">
        <v>0</v>
      </c>
      <c r="K156" s="10">
        <v>0</v>
      </c>
      <c r="L156" s="11" t="s">
        <v>19</v>
      </c>
    </row>
    <row r="157" spans="1:12" ht="20" customHeight="1" x14ac:dyDescent="0.15">
      <c r="A157" s="8" t="s">
        <v>679</v>
      </c>
      <c r="B157" s="9" t="s">
        <v>680</v>
      </c>
      <c r="C157" s="10">
        <v>2026</v>
      </c>
      <c r="D157" s="11" t="s">
        <v>15</v>
      </c>
      <c r="E157" s="11" t="s">
        <v>640</v>
      </c>
      <c r="F157" s="11" t="s">
        <v>75</v>
      </c>
      <c r="G157" s="12"/>
      <c r="H157" s="12"/>
      <c r="I157" s="11" t="s">
        <v>681</v>
      </c>
      <c r="J157" s="10">
        <v>0</v>
      </c>
      <c r="K157" s="10">
        <v>0</v>
      </c>
      <c r="L157" s="11" t="s">
        <v>19</v>
      </c>
    </row>
    <row r="158" spans="1:12" ht="20" customHeight="1" x14ac:dyDescent="0.15">
      <c r="A158" s="8" t="s">
        <v>682</v>
      </c>
      <c r="B158" s="9" t="s">
        <v>683</v>
      </c>
      <c r="C158" s="10">
        <v>2026</v>
      </c>
      <c r="D158" s="11" t="s">
        <v>15</v>
      </c>
      <c r="E158" s="11" t="s">
        <v>640</v>
      </c>
      <c r="F158" s="11" t="s">
        <v>75</v>
      </c>
      <c r="G158" s="12"/>
      <c r="H158" s="12"/>
      <c r="I158" s="11" t="s">
        <v>684</v>
      </c>
      <c r="J158" s="10">
        <v>0</v>
      </c>
      <c r="K158" s="10">
        <v>0</v>
      </c>
      <c r="L158" s="11" t="s">
        <v>19</v>
      </c>
    </row>
    <row r="159" spans="1:12" ht="20" customHeight="1" x14ac:dyDescent="0.15">
      <c r="A159" s="8" t="s">
        <v>685</v>
      </c>
      <c r="B159" s="9" t="s">
        <v>686</v>
      </c>
      <c r="C159" s="10">
        <v>2026</v>
      </c>
      <c r="D159" s="11" t="s">
        <v>687</v>
      </c>
      <c r="E159" s="11" t="s">
        <v>640</v>
      </c>
      <c r="F159" s="11" t="s">
        <v>75</v>
      </c>
      <c r="G159" s="12"/>
      <c r="H159" s="11" t="s">
        <v>688</v>
      </c>
      <c r="I159" s="11" t="s">
        <v>689</v>
      </c>
      <c r="J159" s="10">
        <v>0</v>
      </c>
      <c r="K159" s="10">
        <v>0</v>
      </c>
      <c r="L159" s="11" t="s">
        <v>19</v>
      </c>
    </row>
    <row r="160" spans="1:12" ht="20" customHeight="1" x14ac:dyDescent="0.15">
      <c r="A160" s="8" t="s">
        <v>690</v>
      </c>
      <c r="B160" s="9" t="s">
        <v>667</v>
      </c>
      <c r="C160" s="10">
        <v>2026</v>
      </c>
      <c r="D160" s="11" t="s">
        <v>15</v>
      </c>
      <c r="E160" s="11" t="s">
        <v>640</v>
      </c>
      <c r="F160" s="11" t="s">
        <v>17</v>
      </c>
      <c r="G160" s="12"/>
      <c r="H160" s="12"/>
      <c r="I160" s="11" t="s">
        <v>691</v>
      </c>
      <c r="J160" s="10">
        <v>0</v>
      </c>
      <c r="K160" s="10">
        <v>0</v>
      </c>
      <c r="L160" s="11" t="s">
        <v>19</v>
      </c>
    </row>
    <row r="161" spans="1:12" ht="20" customHeight="1" x14ac:dyDescent="0.15">
      <c r="A161" s="8" t="s">
        <v>692</v>
      </c>
      <c r="B161" s="9" t="s">
        <v>693</v>
      </c>
      <c r="C161" s="10">
        <v>2026</v>
      </c>
      <c r="D161" s="11" t="s">
        <v>15</v>
      </c>
      <c r="E161" s="11" t="s">
        <v>640</v>
      </c>
      <c r="F161" s="11" t="s">
        <v>75</v>
      </c>
      <c r="G161" s="12"/>
      <c r="H161" s="12"/>
      <c r="I161" s="11" t="s">
        <v>694</v>
      </c>
      <c r="J161" s="10">
        <v>0</v>
      </c>
      <c r="K161" s="10">
        <v>0</v>
      </c>
      <c r="L161" s="11" t="s">
        <v>19</v>
      </c>
    </row>
    <row r="162" spans="1:12" ht="20" customHeight="1" x14ac:dyDescent="0.15">
      <c r="A162" s="8" t="s">
        <v>695</v>
      </c>
      <c r="B162" s="9" t="s">
        <v>696</v>
      </c>
      <c r="C162" s="10">
        <v>2026</v>
      </c>
      <c r="D162" s="11" t="s">
        <v>15</v>
      </c>
      <c r="E162" s="11" t="s">
        <v>640</v>
      </c>
      <c r="F162" s="11" t="s">
        <v>32</v>
      </c>
      <c r="G162" s="12"/>
      <c r="H162" s="11" t="s">
        <v>697</v>
      </c>
      <c r="I162" s="11" t="s">
        <v>698</v>
      </c>
      <c r="J162" s="10">
        <v>0</v>
      </c>
      <c r="K162" s="10">
        <v>0</v>
      </c>
      <c r="L162" s="11" t="s">
        <v>19</v>
      </c>
    </row>
    <row r="163" spans="1:12" ht="20" customHeight="1" x14ac:dyDescent="0.15">
      <c r="A163" s="8" t="s">
        <v>699</v>
      </c>
      <c r="B163" s="9" t="s">
        <v>700</v>
      </c>
      <c r="C163" s="10">
        <v>2026</v>
      </c>
      <c r="D163" s="11" t="s">
        <v>15</v>
      </c>
      <c r="E163" s="11" t="s">
        <v>640</v>
      </c>
      <c r="F163" s="11" t="s">
        <v>32</v>
      </c>
      <c r="G163" s="12"/>
      <c r="H163" s="12"/>
      <c r="I163" s="11" t="s">
        <v>701</v>
      </c>
      <c r="J163" s="10">
        <v>0</v>
      </c>
      <c r="K163" s="10">
        <v>0</v>
      </c>
      <c r="L163" s="11" t="s">
        <v>19</v>
      </c>
    </row>
    <row r="164" spans="1:12" ht="20" customHeight="1" x14ac:dyDescent="0.15">
      <c r="A164" s="8" t="s">
        <v>702</v>
      </c>
      <c r="B164" s="9" t="s">
        <v>703</v>
      </c>
      <c r="C164" s="10">
        <v>2026</v>
      </c>
      <c r="D164" s="11" t="s">
        <v>15</v>
      </c>
      <c r="E164" s="11" t="s">
        <v>640</v>
      </c>
      <c r="F164" s="11" t="s">
        <v>32</v>
      </c>
      <c r="G164" s="12"/>
      <c r="H164" s="12"/>
      <c r="I164" s="11" t="s">
        <v>704</v>
      </c>
      <c r="J164" s="10">
        <v>0</v>
      </c>
      <c r="K164" s="10">
        <v>0</v>
      </c>
      <c r="L164" s="11" t="s">
        <v>19</v>
      </c>
    </row>
    <row r="165" spans="1:12" ht="20" customHeight="1" x14ac:dyDescent="0.15">
      <c r="A165" s="8" t="s">
        <v>705</v>
      </c>
      <c r="B165" s="9" t="s">
        <v>706</v>
      </c>
      <c r="C165" s="10">
        <v>2026</v>
      </c>
      <c r="D165" s="11" t="s">
        <v>15</v>
      </c>
      <c r="E165" s="11" t="s">
        <v>640</v>
      </c>
      <c r="F165" s="11" t="s">
        <v>32</v>
      </c>
      <c r="G165" s="12"/>
      <c r="H165" s="12"/>
      <c r="I165" s="11" t="s">
        <v>707</v>
      </c>
      <c r="J165" s="10">
        <v>0</v>
      </c>
      <c r="K165" s="10">
        <v>0</v>
      </c>
      <c r="L165" s="11" t="s">
        <v>19</v>
      </c>
    </row>
    <row r="166" spans="1:12" ht="20" customHeight="1" x14ac:dyDescent="0.15">
      <c r="A166" s="8" t="s">
        <v>708</v>
      </c>
      <c r="B166" s="9" t="s">
        <v>709</v>
      </c>
      <c r="C166" s="10">
        <v>2026</v>
      </c>
      <c r="D166" s="11" t="s">
        <v>15</v>
      </c>
      <c r="E166" s="11" t="s">
        <v>640</v>
      </c>
      <c r="F166" s="11" t="s">
        <v>32</v>
      </c>
      <c r="G166" s="12"/>
      <c r="H166" s="12"/>
      <c r="I166" s="11" t="s">
        <v>710</v>
      </c>
      <c r="J166" s="10">
        <v>0</v>
      </c>
      <c r="K166" s="10">
        <v>0</v>
      </c>
      <c r="L166" s="11" t="s">
        <v>19</v>
      </c>
    </row>
    <row r="167" spans="1:12" ht="20" customHeight="1" x14ac:dyDescent="0.15">
      <c r="A167" s="8" t="s">
        <v>711</v>
      </c>
      <c r="B167" s="9" t="s">
        <v>712</v>
      </c>
      <c r="C167" s="10">
        <v>2026</v>
      </c>
      <c r="D167" s="11" t="s">
        <v>15</v>
      </c>
      <c r="E167" s="11" t="s">
        <v>640</v>
      </c>
      <c r="F167" s="11" t="s">
        <v>32</v>
      </c>
      <c r="G167" s="12"/>
      <c r="H167" s="12"/>
      <c r="I167" s="11" t="s">
        <v>713</v>
      </c>
      <c r="J167" s="10">
        <v>0</v>
      </c>
      <c r="K167" s="10">
        <v>0</v>
      </c>
      <c r="L167" s="11" t="s">
        <v>19</v>
      </c>
    </row>
    <row r="168" spans="1:12" ht="20" customHeight="1" x14ac:dyDescent="0.15">
      <c r="A168" s="8" t="s">
        <v>714</v>
      </c>
      <c r="B168" s="9" t="s">
        <v>715</v>
      </c>
      <c r="C168" s="10">
        <v>2026</v>
      </c>
      <c r="D168" s="11" t="s">
        <v>15</v>
      </c>
      <c r="E168" s="11" t="s">
        <v>640</v>
      </c>
      <c r="F168" s="11" t="s">
        <v>32</v>
      </c>
      <c r="G168" s="12"/>
      <c r="H168" s="12"/>
      <c r="I168" s="11" t="s">
        <v>716</v>
      </c>
      <c r="J168" s="10">
        <v>0</v>
      </c>
      <c r="K168" s="10">
        <v>0</v>
      </c>
      <c r="L168" s="11" t="s">
        <v>19</v>
      </c>
    </row>
    <row r="169" spans="1:12" ht="20" customHeight="1" x14ac:dyDescent="0.15">
      <c r="A169" s="8" t="s">
        <v>717</v>
      </c>
      <c r="B169" s="9" t="s">
        <v>718</v>
      </c>
      <c r="C169" s="10">
        <v>2026</v>
      </c>
      <c r="D169" s="11" t="s">
        <v>15</v>
      </c>
      <c r="E169" s="11" t="s">
        <v>640</v>
      </c>
      <c r="F169" s="11" t="s">
        <v>32</v>
      </c>
      <c r="G169" s="12"/>
      <c r="H169" s="12"/>
      <c r="I169" s="11" t="s">
        <v>719</v>
      </c>
      <c r="J169" s="10">
        <v>0</v>
      </c>
      <c r="K169" s="10">
        <v>0</v>
      </c>
      <c r="L169" s="11" t="s">
        <v>19</v>
      </c>
    </row>
    <row r="170" spans="1:12" ht="20" customHeight="1" x14ac:dyDescent="0.15">
      <c r="A170" s="8" t="s">
        <v>720</v>
      </c>
      <c r="B170" s="9" t="s">
        <v>721</v>
      </c>
      <c r="C170" s="10">
        <v>2026</v>
      </c>
      <c r="D170" s="11" t="s">
        <v>15</v>
      </c>
      <c r="E170" s="11" t="s">
        <v>640</v>
      </c>
      <c r="F170" s="11" t="s">
        <v>32</v>
      </c>
      <c r="G170" s="12"/>
      <c r="H170" s="12"/>
      <c r="I170" s="11" t="s">
        <v>722</v>
      </c>
      <c r="J170" s="10">
        <v>0</v>
      </c>
      <c r="K170" s="10">
        <v>0</v>
      </c>
      <c r="L170" s="11" t="s">
        <v>19</v>
      </c>
    </row>
    <row r="171" spans="1:12" ht="20" customHeight="1" x14ac:dyDescent="0.15">
      <c r="A171" s="8" t="s">
        <v>723</v>
      </c>
      <c r="B171" s="9" t="s">
        <v>724</v>
      </c>
      <c r="C171" s="10">
        <v>2025</v>
      </c>
      <c r="D171" s="11" t="s">
        <v>725</v>
      </c>
      <c r="E171" s="11" t="s">
        <v>640</v>
      </c>
      <c r="F171" s="11" t="s">
        <v>17</v>
      </c>
      <c r="G171" s="11" t="s">
        <v>726</v>
      </c>
      <c r="H171" s="11" t="s">
        <v>727</v>
      </c>
      <c r="I171" s="11" t="s">
        <v>728</v>
      </c>
      <c r="J171" s="10">
        <v>1</v>
      </c>
      <c r="K171" s="10">
        <v>0</v>
      </c>
      <c r="L171" s="11" t="s">
        <v>29</v>
      </c>
    </row>
    <row r="172" spans="1:12" ht="20" customHeight="1" x14ac:dyDescent="0.15">
      <c r="A172" s="8" t="s">
        <v>729</v>
      </c>
      <c r="B172" s="9" t="s">
        <v>730</v>
      </c>
      <c r="C172" s="10">
        <v>2025</v>
      </c>
      <c r="D172" s="11" t="s">
        <v>15</v>
      </c>
      <c r="E172" s="11" t="s">
        <v>640</v>
      </c>
      <c r="F172" s="11" t="s">
        <v>75</v>
      </c>
      <c r="G172" s="12"/>
      <c r="H172" s="12"/>
      <c r="I172" s="11" t="s">
        <v>731</v>
      </c>
      <c r="J172" s="10">
        <v>0</v>
      </c>
      <c r="K172" s="10">
        <v>0</v>
      </c>
      <c r="L172" s="11" t="s">
        <v>19</v>
      </c>
    </row>
    <row r="173" spans="1:12" ht="20" customHeight="1" x14ac:dyDescent="0.15">
      <c r="A173" s="8" t="s">
        <v>732</v>
      </c>
      <c r="B173" s="9" t="s">
        <v>733</v>
      </c>
      <c r="C173" s="10">
        <v>2025</v>
      </c>
      <c r="D173" s="11" t="s">
        <v>15</v>
      </c>
      <c r="E173" s="11" t="s">
        <v>640</v>
      </c>
      <c r="F173" s="11" t="s">
        <v>75</v>
      </c>
      <c r="G173" s="12"/>
      <c r="H173" s="12"/>
      <c r="I173" s="11" t="s">
        <v>734</v>
      </c>
      <c r="J173" s="10">
        <v>0</v>
      </c>
      <c r="K173" s="10">
        <v>0</v>
      </c>
      <c r="L173" s="11" t="s">
        <v>19</v>
      </c>
    </row>
    <row r="174" spans="1:12" ht="20" customHeight="1" x14ac:dyDescent="0.15">
      <c r="A174" s="8" t="s">
        <v>735</v>
      </c>
      <c r="B174" s="9" t="s">
        <v>736</v>
      </c>
      <c r="C174" s="10">
        <v>2025</v>
      </c>
      <c r="D174" s="11" t="s">
        <v>737</v>
      </c>
      <c r="E174" s="11" t="s">
        <v>640</v>
      </c>
      <c r="F174" s="11" t="s">
        <v>75</v>
      </c>
      <c r="G174" s="11" t="s">
        <v>86</v>
      </c>
      <c r="H174" s="11" t="s">
        <v>738</v>
      </c>
      <c r="I174" s="11" t="s">
        <v>739</v>
      </c>
      <c r="J174" s="10">
        <v>0</v>
      </c>
      <c r="K174" s="10">
        <v>0</v>
      </c>
      <c r="L174" s="11" t="s">
        <v>29</v>
      </c>
    </row>
    <row r="175" spans="1:12" ht="20" customHeight="1" x14ac:dyDescent="0.15">
      <c r="A175" s="8" t="s">
        <v>740</v>
      </c>
      <c r="B175" s="9" t="s">
        <v>741</v>
      </c>
      <c r="C175" s="10">
        <v>2025</v>
      </c>
      <c r="D175" s="11" t="s">
        <v>742</v>
      </c>
      <c r="E175" s="11" t="s">
        <v>640</v>
      </c>
      <c r="F175" s="11" t="s">
        <v>17</v>
      </c>
      <c r="G175" s="11" t="s">
        <v>122</v>
      </c>
      <c r="H175" s="11" t="s">
        <v>743</v>
      </c>
      <c r="I175" s="11" t="s">
        <v>744</v>
      </c>
      <c r="J175" s="10">
        <v>1</v>
      </c>
      <c r="K175" s="10">
        <v>0</v>
      </c>
      <c r="L175" s="11" t="s">
        <v>29</v>
      </c>
    </row>
    <row r="176" spans="1:12" ht="20" customHeight="1" x14ac:dyDescent="0.15">
      <c r="A176" s="8" t="s">
        <v>745</v>
      </c>
      <c r="B176" s="9" t="s">
        <v>746</v>
      </c>
      <c r="C176" s="10">
        <v>2025</v>
      </c>
      <c r="D176" s="11" t="s">
        <v>15</v>
      </c>
      <c r="E176" s="11" t="s">
        <v>640</v>
      </c>
      <c r="F176" s="11" t="s">
        <v>75</v>
      </c>
      <c r="G176" s="12"/>
      <c r="H176" s="12"/>
      <c r="I176" s="11" t="s">
        <v>747</v>
      </c>
      <c r="J176" s="10">
        <v>0</v>
      </c>
      <c r="K176" s="10">
        <v>0</v>
      </c>
      <c r="L176" s="11" t="s">
        <v>19</v>
      </c>
    </row>
    <row r="177" spans="1:12" ht="20" customHeight="1" x14ac:dyDescent="0.15">
      <c r="A177" s="8" t="s">
        <v>748</v>
      </c>
      <c r="B177" s="9" t="s">
        <v>749</v>
      </c>
      <c r="C177" s="10">
        <v>2025</v>
      </c>
      <c r="D177" s="11" t="s">
        <v>25</v>
      </c>
      <c r="E177" s="11" t="s">
        <v>640</v>
      </c>
      <c r="F177" s="11" t="s">
        <v>75</v>
      </c>
      <c r="G177" s="11" t="s">
        <v>415</v>
      </c>
      <c r="H177" s="11" t="s">
        <v>750</v>
      </c>
      <c r="I177" s="11" t="s">
        <v>751</v>
      </c>
      <c r="J177" s="10">
        <v>0</v>
      </c>
      <c r="K177" s="10">
        <v>0</v>
      </c>
      <c r="L177" s="11" t="s">
        <v>29</v>
      </c>
    </row>
    <row r="178" spans="1:12" ht="20" customHeight="1" x14ac:dyDescent="0.15">
      <c r="A178" s="8" t="s">
        <v>752</v>
      </c>
      <c r="B178" s="9" t="s">
        <v>753</v>
      </c>
      <c r="C178" s="10">
        <v>2025</v>
      </c>
      <c r="D178" s="11" t="s">
        <v>15</v>
      </c>
      <c r="E178" s="11" t="s">
        <v>640</v>
      </c>
      <c r="F178" s="11" t="s">
        <v>75</v>
      </c>
      <c r="G178" s="12"/>
      <c r="H178" s="12"/>
      <c r="I178" s="11" t="s">
        <v>754</v>
      </c>
      <c r="J178" s="10">
        <v>0</v>
      </c>
      <c r="K178" s="10">
        <v>0</v>
      </c>
      <c r="L178" s="11" t="s">
        <v>19</v>
      </c>
    </row>
    <row r="179" spans="1:12" ht="20" customHeight="1" x14ac:dyDescent="0.15">
      <c r="A179" s="8" t="s">
        <v>755</v>
      </c>
      <c r="B179" s="9" t="s">
        <v>756</v>
      </c>
      <c r="C179" s="10">
        <v>2025</v>
      </c>
      <c r="D179" s="11" t="s">
        <v>15</v>
      </c>
      <c r="E179" s="11" t="s">
        <v>640</v>
      </c>
      <c r="F179" s="11" t="s">
        <v>75</v>
      </c>
      <c r="G179" s="12"/>
      <c r="H179" s="12"/>
      <c r="I179" s="11" t="s">
        <v>757</v>
      </c>
      <c r="J179" s="10">
        <v>0</v>
      </c>
      <c r="K179" s="10">
        <v>0</v>
      </c>
      <c r="L179" s="11" t="s">
        <v>19</v>
      </c>
    </row>
    <row r="180" spans="1:12" ht="20" customHeight="1" x14ac:dyDescent="0.15">
      <c r="A180" s="8" t="s">
        <v>758</v>
      </c>
      <c r="B180" s="9" t="s">
        <v>759</v>
      </c>
      <c r="C180" s="10">
        <v>2025</v>
      </c>
      <c r="D180" s="11" t="s">
        <v>268</v>
      </c>
      <c r="E180" s="11" t="s">
        <v>640</v>
      </c>
      <c r="F180" s="11" t="s">
        <v>75</v>
      </c>
      <c r="G180" s="11" t="s">
        <v>188</v>
      </c>
      <c r="H180" s="11" t="s">
        <v>760</v>
      </c>
      <c r="I180" s="11" t="s">
        <v>761</v>
      </c>
      <c r="J180" s="10">
        <v>0</v>
      </c>
      <c r="K180" s="10">
        <v>0</v>
      </c>
      <c r="L180" s="11" t="s">
        <v>29</v>
      </c>
    </row>
    <row r="181" spans="1:12" ht="20" customHeight="1" x14ac:dyDescent="0.15">
      <c r="A181" s="8" t="s">
        <v>762</v>
      </c>
      <c r="B181" s="9" t="s">
        <v>763</v>
      </c>
      <c r="C181" s="10">
        <v>2025</v>
      </c>
      <c r="D181" s="11" t="s">
        <v>764</v>
      </c>
      <c r="E181" s="11" t="s">
        <v>640</v>
      </c>
      <c r="F181" s="11" t="s">
        <v>17</v>
      </c>
      <c r="G181" s="11" t="s">
        <v>765</v>
      </c>
      <c r="H181" s="11" t="s">
        <v>766</v>
      </c>
      <c r="I181" s="11" t="s">
        <v>767</v>
      </c>
      <c r="J181" s="10">
        <v>0</v>
      </c>
      <c r="K181" s="10">
        <v>0</v>
      </c>
      <c r="L181" s="11" t="s">
        <v>29</v>
      </c>
    </row>
    <row r="182" spans="1:12" ht="20" customHeight="1" x14ac:dyDescent="0.15">
      <c r="A182" s="8" t="s">
        <v>768</v>
      </c>
      <c r="B182" s="9" t="s">
        <v>769</v>
      </c>
      <c r="C182" s="10">
        <v>2025</v>
      </c>
      <c r="D182" s="11" t="s">
        <v>770</v>
      </c>
      <c r="E182" s="11" t="s">
        <v>640</v>
      </c>
      <c r="F182" s="11" t="s">
        <v>75</v>
      </c>
      <c r="G182" s="11" t="s">
        <v>771</v>
      </c>
      <c r="H182" s="11" t="s">
        <v>772</v>
      </c>
      <c r="I182" s="11" t="s">
        <v>773</v>
      </c>
      <c r="J182" s="10">
        <v>0</v>
      </c>
      <c r="K182" s="10">
        <v>0</v>
      </c>
      <c r="L182" s="11" t="s">
        <v>29</v>
      </c>
    </row>
    <row r="183" spans="1:12" ht="20" customHeight="1" x14ac:dyDescent="0.15">
      <c r="A183" s="8" t="s">
        <v>774</v>
      </c>
      <c r="B183" s="9" t="s">
        <v>775</v>
      </c>
      <c r="C183" s="10">
        <v>2025</v>
      </c>
      <c r="D183" s="11" t="s">
        <v>776</v>
      </c>
      <c r="E183" s="11" t="s">
        <v>640</v>
      </c>
      <c r="F183" s="11" t="s">
        <v>75</v>
      </c>
      <c r="G183" s="11" t="s">
        <v>771</v>
      </c>
      <c r="H183" s="11" t="s">
        <v>777</v>
      </c>
      <c r="I183" s="11" t="s">
        <v>778</v>
      </c>
      <c r="J183" s="10">
        <v>0</v>
      </c>
      <c r="K183" s="10">
        <v>0</v>
      </c>
      <c r="L183" s="11" t="s">
        <v>29</v>
      </c>
    </row>
    <row r="184" spans="1:12" ht="20" customHeight="1" x14ac:dyDescent="0.15">
      <c r="A184" s="8" t="s">
        <v>779</v>
      </c>
      <c r="B184" s="9" t="s">
        <v>780</v>
      </c>
      <c r="C184" s="10">
        <v>2025</v>
      </c>
      <c r="D184" s="11" t="s">
        <v>15</v>
      </c>
      <c r="E184" s="11" t="s">
        <v>640</v>
      </c>
      <c r="F184" s="11" t="s">
        <v>75</v>
      </c>
      <c r="G184" s="12"/>
      <c r="H184" s="12"/>
      <c r="I184" s="11" t="s">
        <v>781</v>
      </c>
      <c r="J184" s="10">
        <v>0</v>
      </c>
      <c r="K184" s="10">
        <v>0</v>
      </c>
      <c r="L184" s="11" t="s">
        <v>19</v>
      </c>
    </row>
    <row r="185" spans="1:12" ht="20" customHeight="1" x14ac:dyDescent="0.15">
      <c r="A185" s="8" t="s">
        <v>782</v>
      </c>
      <c r="B185" s="9" t="s">
        <v>783</v>
      </c>
      <c r="C185" s="10">
        <v>2025</v>
      </c>
      <c r="D185" s="11" t="s">
        <v>15</v>
      </c>
      <c r="E185" s="11" t="s">
        <v>640</v>
      </c>
      <c r="F185" s="11" t="s">
        <v>75</v>
      </c>
      <c r="G185" s="12"/>
      <c r="H185" s="12"/>
      <c r="I185" s="11" t="s">
        <v>784</v>
      </c>
      <c r="J185" s="10">
        <v>0</v>
      </c>
      <c r="K185" s="10">
        <v>0</v>
      </c>
      <c r="L185" s="11" t="s">
        <v>19</v>
      </c>
    </row>
    <row r="186" spans="1:12" ht="20" customHeight="1" x14ac:dyDescent="0.15">
      <c r="A186" s="8" t="s">
        <v>785</v>
      </c>
      <c r="B186" s="9" t="s">
        <v>786</v>
      </c>
      <c r="C186" s="10">
        <v>2025</v>
      </c>
      <c r="D186" s="11" t="s">
        <v>15</v>
      </c>
      <c r="E186" s="11" t="s">
        <v>640</v>
      </c>
      <c r="F186" s="11" t="s">
        <v>75</v>
      </c>
      <c r="G186" s="12"/>
      <c r="H186" s="12"/>
      <c r="I186" s="11" t="s">
        <v>787</v>
      </c>
      <c r="J186" s="10">
        <v>0</v>
      </c>
      <c r="K186" s="10">
        <v>0</v>
      </c>
      <c r="L186" s="11" t="s">
        <v>19</v>
      </c>
    </row>
    <row r="187" spans="1:12" ht="20" customHeight="1" x14ac:dyDescent="0.15">
      <c r="A187" s="8" t="s">
        <v>788</v>
      </c>
      <c r="B187" s="9" t="s">
        <v>736</v>
      </c>
      <c r="C187" s="10">
        <v>2025</v>
      </c>
      <c r="D187" s="11" t="s">
        <v>789</v>
      </c>
      <c r="E187" s="11" t="s">
        <v>640</v>
      </c>
      <c r="F187" s="11" t="s">
        <v>17</v>
      </c>
      <c r="G187" s="11" t="s">
        <v>771</v>
      </c>
      <c r="H187" s="11" t="s">
        <v>790</v>
      </c>
      <c r="I187" s="11" t="s">
        <v>791</v>
      </c>
      <c r="J187" s="10">
        <v>0</v>
      </c>
      <c r="K187" s="10">
        <v>0</v>
      </c>
      <c r="L187" s="11" t="s">
        <v>29</v>
      </c>
    </row>
    <row r="188" spans="1:12" ht="20" customHeight="1" x14ac:dyDescent="0.15">
      <c r="A188" s="8" t="s">
        <v>792</v>
      </c>
      <c r="B188" s="9" t="s">
        <v>793</v>
      </c>
      <c r="C188" s="10">
        <v>2025</v>
      </c>
      <c r="D188" s="11" t="s">
        <v>315</v>
      </c>
      <c r="E188" s="11" t="s">
        <v>640</v>
      </c>
      <c r="F188" s="11" t="s">
        <v>75</v>
      </c>
      <c r="G188" s="11" t="s">
        <v>771</v>
      </c>
      <c r="H188" s="11" t="s">
        <v>794</v>
      </c>
      <c r="I188" s="11" t="s">
        <v>795</v>
      </c>
      <c r="J188" s="10">
        <v>0</v>
      </c>
      <c r="K188" s="10">
        <v>1</v>
      </c>
      <c r="L188" s="11" t="s">
        <v>29</v>
      </c>
    </row>
    <row r="189" spans="1:12" ht="20" customHeight="1" x14ac:dyDescent="0.15">
      <c r="A189" s="8" t="s">
        <v>796</v>
      </c>
      <c r="B189" s="9" t="s">
        <v>797</v>
      </c>
      <c r="C189" s="10">
        <v>2025</v>
      </c>
      <c r="D189" s="11" t="s">
        <v>549</v>
      </c>
      <c r="E189" s="11" t="s">
        <v>640</v>
      </c>
      <c r="F189" s="11" t="s">
        <v>32</v>
      </c>
      <c r="G189" s="11" t="s">
        <v>26</v>
      </c>
      <c r="H189" s="11" t="s">
        <v>798</v>
      </c>
      <c r="I189" s="11" t="s">
        <v>799</v>
      </c>
      <c r="J189" s="10">
        <v>1</v>
      </c>
      <c r="K189" s="10">
        <v>0</v>
      </c>
      <c r="L189" s="11" t="s">
        <v>29</v>
      </c>
    </row>
    <row r="190" spans="1:12" ht="20" customHeight="1" x14ac:dyDescent="0.15">
      <c r="A190" s="8" t="s">
        <v>800</v>
      </c>
      <c r="B190" s="9" t="s">
        <v>801</v>
      </c>
      <c r="C190" s="10">
        <v>2025</v>
      </c>
      <c r="D190" s="11" t="s">
        <v>15</v>
      </c>
      <c r="E190" s="11" t="s">
        <v>640</v>
      </c>
      <c r="F190" s="11" t="s">
        <v>32</v>
      </c>
      <c r="G190" s="12"/>
      <c r="H190" s="12"/>
      <c r="I190" s="11" t="s">
        <v>802</v>
      </c>
      <c r="J190" s="10">
        <v>0</v>
      </c>
      <c r="K190" s="10">
        <v>0</v>
      </c>
      <c r="L190" s="11" t="s">
        <v>19</v>
      </c>
    </row>
    <row r="191" spans="1:12" ht="20" customHeight="1" x14ac:dyDescent="0.15">
      <c r="A191" s="8" t="s">
        <v>803</v>
      </c>
      <c r="B191" s="9" t="s">
        <v>804</v>
      </c>
      <c r="C191" s="10">
        <v>2025</v>
      </c>
      <c r="D191" s="11" t="s">
        <v>15</v>
      </c>
      <c r="E191" s="11" t="s">
        <v>640</v>
      </c>
      <c r="F191" s="11" t="s">
        <v>32</v>
      </c>
      <c r="G191" s="12"/>
      <c r="H191" s="12"/>
      <c r="I191" s="11" t="s">
        <v>805</v>
      </c>
      <c r="J191" s="10">
        <v>0</v>
      </c>
      <c r="K191" s="10">
        <v>0</v>
      </c>
      <c r="L191" s="11" t="s">
        <v>19</v>
      </c>
    </row>
    <row r="192" spans="1:12" ht="20" customHeight="1" x14ac:dyDescent="0.15">
      <c r="A192" s="8" t="s">
        <v>806</v>
      </c>
      <c r="B192" s="9" t="s">
        <v>807</v>
      </c>
      <c r="C192" s="10">
        <v>2025</v>
      </c>
      <c r="D192" s="11" t="s">
        <v>15</v>
      </c>
      <c r="E192" s="11" t="s">
        <v>640</v>
      </c>
      <c r="F192" s="11" t="s">
        <v>32</v>
      </c>
      <c r="G192" s="12"/>
      <c r="H192" s="12"/>
      <c r="I192" s="11" t="s">
        <v>808</v>
      </c>
      <c r="J192" s="10">
        <v>0</v>
      </c>
      <c r="K192" s="10">
        <v>0</v>
      </c>
      <c r="L192" s="11" t="s">
        <v>19</v>
      </c>
    </row>
    <row r="193" spans="1:12" ht="20" customHeight="1" x14ac:dyDescent="0.15">
      <c r="A193" s="8" t="s">
        <v>809</v>
      </c>
      <c r="B193" s="9" t="s">
        <v>810</v>
      </c>
      <c r="C193" s="10">
        <v>2025</v>
      </c>
      <c r="D193" s="11" t="s">
        <v>315</v>
      </c>
      <c r="E193" s="11" t="s">
        <v>640</v>
      </c>
      <c r="F193" s="11" t="s">
        <v>32</v>
      </c>
      <c r="G193" s="11" t="s">
        <v>26</v>
      </c>
      <c r="H193" s="11" t="s">
        <v>811</v>
      </c>
      <c r="I193" s="11" t="s">
        <v>812</v>
      </c>
      <c r="J193" s="10">
        <v>0</v>
      </c>
      <c r="K193" s="10">
        <v>0</v>
      </c>
      <c r="L193" s="11" t="s">
        <v>29</v>
      </c>
    </row>
    <row r="194" spans="1:12" ht="20" customHeight="1" x14ac:dyDescent="0.15">
      <c r="A194" s="8" t="s">
        <v>813</v>
      </c>
      <c r="B194" s="9" t="s">
        <v>814</v>
      </c>
      <c r="C194" s="10">
        <v>2025</v>
      </c>
      <c r="D194" s="11" t="s">
        <v>15</v>
      </c>
      <c r="E194" s="11" t="s">
        <v>640</v>
      </c>
      <c r="F194" s="11" t="s">
        <v>32</v>
      </c>
      <c r="G194" s="12"/>
      <c r="H194" s="12"/>
      <c r="I194" s="11" t="s">
        <v>815</v>
      </c>
      <c r="J194" s="10">
        <v>0</v>
      </c>
      <c r="K194" s="10">
        <v>0</v>
      </c>
      <c r="L194" s="11" t="s">
        <v>19</v>
      </c>
    </row>
    <row r="195" spans="1:12" ht="20" customHeight="1" x14ac:dyDescent="0.15">
      <c r="A195" s="8" t="s">
        <v>816</v>
      </c>
      <c r="B195" s="9" t="s">
        <v>817</v>
      </c>
      <c r="C195" s="10">
        <v>2025</v>
      </c>
      <c r="D195" s="11" t="s">
        <v>175</v>
      </c>
      <c r="E195" s="11" t="s">
        <v>640</v>
      </c>
      <c r="F195" s="11" t="s">
        <v>32</v>
      </c>
      <c r="G195" s="11" t="s">
        <v>132</v>
      </c>
      <c r="H195" s="11" t="s">
        <v>818</v>
      </c>
      <c r="I195" s="11" t="s">
        <v>819</v>
      </c>
      <c r="J195" s="10">
        <v>0</v>
      </c>
      <c r="K195" s="10">
        <v>0</v>
      </c>
      <c r="L195" s="11" t="s">
        <v>29</v>
      </c>
    </row>
    <row r="196" spans="1:12" ht="20" customHeight="1" x14ac:dyDescent="0.15">
      <c r="A196" s="8" t="s">
        <v>820</v>
      </c>
      <c r="B196" s="9" t="s">
        <v>821</v>
      </c>
      <c r="C196" s="10">
        <v>2025</v>
      </c>
      <c r="D196" s="11" t="s">
        <v>315</v>
      </c>
      <c r="E196" s="11" t="s">
        <v>640</v>
      </c>
      <c r="F196" s="11" t="s">
        <v>32</v>
      </c>
      <c r="G196" s="11" t="s">
        <v>45</v>
      </c>
      <c r="H196" s="11" t="s">
        <v>822</v>
      </c>
      <c r="I196" s="11" t="s">
        <v>823</v>
      </c>
      <c r="J196" s="10">
        <v>0</v>
      </c>
      <c r="K196" s="10">
        <v>0</v>
      </c>
      <c r="L196" s="11" t="s">
        <v>29</v>
      </c>
    </row>
    <row r="197" spans="1:12" ht="20" customHeight="1" x14ac:dyDescent="0.15">
      <c r="A197" s="8" t="s">
        <v>824</v>
      </c>
      <c r="B197" s="9" t="s">
        <v>825</v>
      </c>
      <c r="C197" s="10">
        <v>2025</v>
      </c>
      <c r="D197" s="11" t="s">
        <v>193</v>
      </c>
      <c r="E197" s="11" t="s">
        <v>640</v>
      </c>
      <c r="F197" s="11" t="s">
        <v>32</v>
      </c>
      <c r="G197" s="11" t="s">
        <v>826</v>
      </c>
      <c r="H197" s="11" t="s">
        <v>827</v>
      </c>
      <c r="I197" s="11" t="s">
        <v>828</v>
      </c>
      <c r="J197" s="10">
        <v>0</v>
      </c>
      <c r="K197" s="10">
        <v>0</v>
      </c>
      <c r="L197" s="11" t="s">
        <v>29</v>
      </c>
    </row>
    <row r="198" spans="1:12" ht="20" customHeight="1" x14ac:dyDescent="0.15">
      <c r="A198" s="8" t="s">
        <v>829</v>
      </c>
      <c r="B198" s="9" t="s">
        <v>830</v>
      </c>
      <c r="C198" s="10">
        <v>2025</v>
      </c>
      <c r="D198" s="11" t="s">
        <v>831</v>
      </c>
      <c r="E198" s="11" t="s">
        <v>640</v>
      </c>
      <c r="F198" s="11" t="s">
        <v>32</v>
      </c>
      <c r="G198" s="11" t="s">
        <v>832</v>
      </c>
      <c r="H198" s="11" t="s">
        <v>833</v>
      </c>
      <c r="I198" s="11" t="s">
        <v>834</v>
      </c>
      <c r="J198" s="10">
        <v>1</v>
      </c>
      <c r="K198" s="10">
        <v>0</v>
      </c>
      <c r="L198" s="11" t="s">
        <v>29</v>
      </c>
    </row>
    <row r="199" spans="1:12" ht="20" customHeight="1" x14ac:dyDescent="0.15">
      <c r="A199" s="8" t="s">
        <v>835</v>
      </c>
      <c r="B199" s="9" t="s">
        <v>836</v>
      </c>
      <c r="C199" s="10">
        <v>2025</v>
      </c>
      <c r="D199" s="11" t="s">
        <v>837</v>
      </c>
      <c r="E199" s="11" t="s">
        <v>640</v>
      </c>
      <c r="F199" s="11" t="s">
        <v>32</v>
      </c>
      <c r="G199" s="11" t="s">
        <v>400</v>
      </c>
      <c r="H199" s="11" t="s">
        <v>838</v>
      </c>
      <c r="I199" s="11" t="s">
        <v>839</v>
      </c>
      <c r="J199" s="10">
        <v>0</v>
      </c>
      <c r="K199" s="10">
        <v>0</v>
      </c>
      <c r="L199" s="11" t="s">
        <v>29</v>
      </c>
    </row>
    <row r="200" spans="1:12" ht="20" customHeight="1" x14ac:dyDescent="0.15">
      <c r="A200" s="8" t="s">
        <v>840</v>
      </c>
      <c r="B200" s="9" t="s">
        <v>841</v>
      </c>
      <c r="C200" s="10">
        <v>2025</v>
      </c>
      <c r="D200" s="11" t="s">
        <v>15</v>
      </c>
      <c r="E200" s="11" t="s">
        <v>640</v>
      </c>
      <c r="F200" s="11" t="s">
        <v>32</v>
      </c>
      <c r="G200" s="12"/>
      <c r="H200" s="12"/>
      <c r="I200" s="11" t="s">
        <v>842</v>
      </c>
      <c r="J200" s="10">
        <v>0</v>
      </c>
      <c r="K200" s="10">
        <v>0</v>
      </c>
      <c r="L200" s="11" t="s">
        <v>19</v>
      </c>
    </row>
    <row r="201" spans="1:12" ht="20" customHeight="1" x14ac:dyDescent="0.15">
      <c r="A201" s="8" t="s">
        <v>843</v>
      </c>
      <c r="B201" s="9" t="s">
        <v>844</v>
      </c>
      <c r="C201" s="10">
        <v>2025</v>
      </c>
      <c r="D201" s="11" t="s">
        <v>25</v>
      </c>
      <c r="E201" s="11" t="s">
        <v>640</v>
      </c>
      <c r="F201" s="11" t="s">
        <v>32</v>
      </c>
      <c r="G201" s="11" t="s">
        <v>845</v>
      </c>
      <c r="H201" s="11" t="s">
        <v>846</v>
      </c>
      <c r="I201" s="11" t="s">
        <v>847</v>
      </c>
      <c r="J201" s="10">
        <v>1</v>
      </c>
      <c r="K201" s="10">
        <v>0</v>
      </c>
      <c r="L201" s="11" t="s">
        <v>29</v>
      </c>
    </row>
    <row r="202" spans="1:12" ht="20" customHeight="1" x14ac:dyDescent="0.15">
      <c r="A202" s="8" t="s">
        <v>848</v>
      </c>
      <c r="B202" s="9" t="s">
        <v>849</v>
      </c>
      <c r="C202" s="10">
        <v>2025</v>
      </c>
      <c r="D202" s="11" t="s">
        <v>25</v>
      </c>
      <c r="E202" s="11" t="s">
        <v>640</v>
      </c>
      <c r="F202" s="11" t="s">
        <v>32</v>
      </c>
      <c r="G202" s="11" t="s">
        <v>850</v>
      </c>
      <c r="H202" s="11" t="s">
        <v>851</v>
      </c>
      <c r="I202" s="11" t="s">
        <v>852</v>
      </c>
      <c r="J202" s="10">
        <v>1</v>
      </c>
      <c r="K202" s="10">
        <v>0</v>
      </c>
      <c r="L202" s="11" t="s">
        <v>29</v>
      </c>
    </row>
    <row r="203" spans="1:12" ht="20" customHeight="1" x14ac:dyDescent="0.15">
      <c r="A203" s="8" t="s">
        <v>853</v>
      </c>
      <c r="B203" s="9" t="s">
        <v>854</v>
      </c>
      <c r="C203" s="10">
        <v>2025</v>
      </c>
      <c r="D203" s="11" t="s">
        <v>855</v>
      </c>
      <c r="E203" s="11" t="s">
        <v>640</v>
      </c>
      <c r="F203" s="11" t="s">
        <v>32</v>
      </c>
      <c r="G203" s="11" t="s">
        <v>856</v>
      </c>
      <c r="H203" s="11" t="s">
        <v>857</v>
      </c>
      <c r="I203" s="11" t="s">
        <v>858</v>
      </c>
      <c r="J203" s="10">
        <v>1</v>
      </c>
      <c r="K203" s="10">
        <v>0</v>
      </c>
      <c r="L203" s="11" t="s">
        <v>29</v>
      </c>
    </row>
    <row r="204" spans="1:12" ht="20" customHeight="1" x14ac:dyDescent="0.15">
      <c r="A204" s="8" t="s">
        <v>859</v>
      </c>
      <c r="B204" s="9" t="s">
        <v>860</v>
      </c>
      <c r="C204" s="10">
        <v>2025</v>
      </c>
      <c r="D204" s="12"/>
      <c r="E204" s="11" t="s">
        <v>640</v>
      </c>
      <c r="F204" s="11" t="s">
        <v>75</v>
      </c>
      <c r="G204" s="11" t="s">
        <v>86</v>
      </c>
      <c r="H204" s="11" t="s">
        <v>861</v>
      </c>
      <c r="I204" s="12"/>
      <c r="J204" s="10">
        <v>0</v>
      </c>
      <c r="K204" s="10">
        <v>1</v>
      </c>
      <c r="L204" s="11" t="s">
        <v>78</v>
      </c>
    </row>
    <row r="205" spans="1:12" ht="20" customHeight="1" x14ac:dyDescent="0.15">
      <c r="A205" s="8" t="s">
        <v>862</v>
      </c>
      <c r="B205" s="9" t="s">
        <v>863</v>
      </c>
      <c r="C205" s="10">
        <v>2024</v>
      </c>
      <c r="D205" s="11" t="s">
        <v>864</v>
      </c>
      <c r="E205" s="11" t="s">
        <v>640</v>
      </c>
      <c r="F205" s="11" t="s">
        <v>17</v>
      </c>
      <c r="G205" s="11" t="s">
        <v>832</v>
      </c>
      <c r="H205" s="11" t="s">
        <v>865</v>
      </c>
      <c r="I205" s="11" t="s">
        <v>866</v>
      </c>
      <c r="J205" s="10">
        <v>0</v>
      </c>
      <c r="K205" s="10">
        <v>0</v>
      </c>
      <c r="L205" s="11" t="s">
        <v>29</v>
      </c>
    </row>
    <row r="206" spans="1:12" ht="20" customHeight="1" x14ac:dyDescent="0.15">
      <c r="A206" s="8" t="s">
        <v>867</v>
      </c>
      <c r="B206" s="9" t="s">
        <v>868</v>
      </c>
      <c r="C206" s="10">
        <v>2024</v>
      </c>
      <c r="D206" s="11" t="s">
        <v>15</v>
      </c>
      <c r="E206" s="11" t="s">
        <v>640</v>
      </c>
      <c r="F206" s="11" t="s">
        <v>17</v>
      </c>
      <c r="G206" s="12"/>
      <c r="H206" s="12"/>
      <c r="I206" s="11" t="s">
        <v>869</v>
      </c>
      <c r="J206" s="10">
        <v>0</v>
      </c>
      <c r="K206" s="10">
        <v>0</v>
      </c>
      <c r="L206" s="11" t="s">
        <v>19</v>
      </c>
    </row>
    <row r="207" spans="1:12" ht="20" customHeight="1" x14ac:dyDescent="0.15">
      <c r="A207" s="8" t="s">
        <v>870</v>
      </c>
      <c r="B207" s="9" t="s">
        <v>871</v>
      </c>
      <c r="C207" s="10">
        <v>2024</v>
      </c>
      <c r="D207" s="11" t="s">
        <v>872</v>
      </c>
      <c r="E207" s="11" t="s">
        <v>640</v>
      </c>
      <c r="F207" s="11" t="s">
        <v>17</v>
      </c>
      <c r="G207" s="11" t="s">
        <v>660</v>
      </c>
      <c r="H207" s="11" t="s">
        <v>873</v>
      </c>
      <c r="I207" s="11" t="s">
        <v>874</v>
      </c>
      <c r="J207" s="10">
        <v>0</v>
      </c>
      <c r="K207" s="10">
        <v>0</v>
      </c>
      <c r="L207" s="11" t="s">
        <v>29</v>
      </c>
    </row>
    <row r="208" spans="1:12" ht="20" customHeight="1" x14ac:dyDescent="0.15">
      <c r="A208" s="8" t="s">
        <v>875</v>
      </c>
      <c r="B208" s="9" t="s">
        <v>876</v>
      </c>
      <c r="C208" s="10">
        <v>2024</v>
      </c>
      <c r="D208" s="11" t="s">
        <v>877</v>
      </c>
      <c r="E208" s="11" t="s">
        <v>640</v>
      </c>
      <c r="F208" s="11" t="s">
        <v>17</v>
      </c>
      <c r="G208" s="11" t="s">
        <v>878</v>
      </c>
      <c r="H208" s="11" t="s">
        <v>879</v>
      </c>
      <c r="I208" s="11" t="s">
        <v>880</v>
      </c>
      <c r="J208" s="10">
        <v>0</v>
      </c>
      <c r="K208" s="10">
        <v>0</v>
      </c>
      <c r="L208" s="11" t="s">
        <v>29</v>
      </c>
    </row>
    <row r="209" spans="1:12" ht="20" customHeight="1" x14ac:dyDescent="0.15">
      <c r="A209" s="8" t="s">
        <v>881</v>
      </c>
      <c r="B209" s="9" t="s">
        <v>882</v>
      </c>
      <c r="C209" s="10">
        <v>2024</v>
      </c>
      <c r="D209" s="11" t="s">
        <v>883</v>
      </c>
      <c r="E209" s="11" t="s">
        <v>640</v>
      </c>
      <c r="F209" s="11" t="s">
        <v>75</v>
      </c>
      <c r="G209" s="11" t="s">
        <v>884</v>
      </c>
      <c r="H209" s="11" t="s">
        <v>885</v>
      </c>
      <c r="I209" s="11" t="s">
        <v>886</v>
      </c>
      <c r="J209" s="10">
        <v>1</v>
      </c>
      <c r="K209" s="10">
        <v>0</v>
      </c>
      <c r="L209" s="11" t="s">
        <v>29</v>
      </c>
    </row>
    <row r="210" spans="1:12" ht="20" customHeight="1" x14ac:dyDescent="0.15">
      <c r="A210" s="8" t="s">
        <v>887</v>
      </c>
      <c r="B210" s="9" t="s">
        <v>888</v>
      </c>
      <c r="C210" s="10">
        <v>2024</v>
      </c>
      <c r="D210" s="11" t="s">
        <v>15</v>
      </c>
      <c r="E210" s="11" t="s">
        <v>640</v>
      </c>
      <c r="F210" s="11" t="s">
        <v>75</v>
      </c>
      <c r="G210" s="12"/>
      <c r="H210" s="12"/>
      <c r="I210" s="11" t="s">
        <v>889</v>
      </c>
      <c r="J210" s="10">
        <v>0</v>
      </c>
      <c r="K210" s="10">
        <v>0</v>
      </c>
      <c r="L210" s="11" t="s">
        <v>19</v>
      </c>
    </row>
    <row r="211" spans="1:12" ht="20" customHeight="1" x14ac:dyDescent="0.15">
      <c r="A211" s="8" t="s">
        <v>890</v>
      </c>
      <c r="B211" s="9" t="s">
        <v>891</v>
      </c>
      <c r="C211" s="10">
        <v>2024</v>
      </c>
      <c r="D211" s="11" t="s">
        <v>315</v>
      </c>
      <c r="E211" s="11" t="s">
        <v>640</v>
      </c>
      <c r="F211" s="11" t="s">
        <v>75</v>
      </c>
      <c r="G211" s="11" t="s">
        <v>892</v>
      </c>
      <c r="H211" s="11" t="s">
        <v>893</v>
      </c>
      <c r="I211" s="11" t="s">
        <v>894</v>
      </c>
      <c r="J211" s="10">
        <v>0</v>
      </c>
      <c r="K211" s="10">
        <v>0</v>
      </c>
      <c r="L211" s="11" t="s">
        <v>29</v>
      </c>
    </row>
    <row r="212" spans="1:12" ht="20" customHeight="1" x14ac:dyDescent="0.15">
      <c r="A212" s="8" t="s">
        <v>895</v>
      </c>
      <c r="B212" s="9" t="s">
        <v>896</v>
      </c>
      <c r="C212" s="10">
        <v>2024</v>
      </c>
      <c r="D212" s="11" t="s">
        <v>877</v>
      </c>
      <c r="E212" s="11" t="s">
        <v>640</v>
      </c>
      <c r="F212" s="11" t="s">
        <v>17</v>
      </c>
      <c r="G212" s="11" t="s">
        <v>878</v>
      </c>
      <c r="H212" s="11" t="s">
        <v>897</v>
      </c>
      <c r="I212" s="11" t="s">
        <v>898</v>
      </c>
      <c r="J212" s="10">
        <v>0</v>
      </c>
      <c r="K212" s="10">
        <v>0</v>
      </c>
      <c r="L212" s="11" t="s">
        <v>29</v>
      </c>
    </row>
    <row r="213" spans="1:12" ht="20" customHeight="1" x14ac:dyDescent="0.15">
      <c r="A213" s="8" t="s">
        <v>899</v>
      </c>
      <c r="B213" s="9" t="s">
        <v>900</v>
      </c>
      <c r="C213" s="10">
        <v>2024</v>
      </c>
      <c r="D213" s="11" t="s">
        <v>15</v>
      </c>
      <c r="E213" s="11" t="s">
        <v>640</v>
      </c>
      <c r="F213" s="11" t="s">
        <v>75</v>
      </c>
      <c r="G213" s="12"/>
      <c r="H213" s="11" t="s">
        <v>901</v>
      </c>
      <c r="I213" s="11" t="s">
        <v>902</v>
      </c>
      <c r="J213" s="10">
        <v>0</v>
      </c>
      <c r="K213" s="10">
        <v>0</v>
      </c>
      <c r="L213" s="11" t="s">
        <v>19</v>
      </c>
    </row>
    <row r="214" spans="1:12" ht="20" customHeight="1" x14ac:dyDescent="0.15">
      <c r="A214" s="8" t="s">
        <v>903</v>
      </c>
      <c r="B214" s="9" t="s">
        <v>904</v>
      </c>
      <c r="C214" s="10">
        <v>2024</v>
      </c>
      <c r="D214" s="11" t="s">
        <v>15</v>
      </c>
      <c r="E214" s="11" t="s">
        <v>640</v>
      </c>
      <c r="F214" s="11" t="s">
        <v>75</v>
      </c>
      <c r="G214" s="12"/>
      <c r="H214" s="12"/>
      <c r="I214" s="11" t="s">
        <v>905</v>
      </c>
      <c r="J214" s="10">
        <v>0</v>
      </c>
      <c r="K214" s="10">
        <v>0</v>
      </c>
      <c r="L214" s="11" t="s">
        <v>19</v>
      </c>
    </row>
    <row r="215" spans="1:12" ht="20" customHeight="1" x14ac:dyDescent="0.15">
      <c r="A215" s="8" t="s">
        <v>906</v>
      </c>
      <c r="B215" s="9" t="s">
        <v>907</v>
      </c>
      <c r="C215" s="10">
        <v>2024</v>
      </c>
      <c r="D215" s="11" t="s">
        <v>15</v>
      </c>
      <c r="E215" s="11" t="s">
        <v>640</v>
      </c>
      <c r="F215" s="11" t="s">
        <v>75</v>
      </c>
      <c r="G215" s="12"/>
      <c r="H215" s="12"/>
      <c r="I215" s="11" t="s">
        <v>908</v>
      </c>
      <c r="J215" s="10">
        <v>0</v>
      </c>
      <c r="K215" s="10">
        <v>0</v>
      </c>
      <c r="L215" s="11" t="s">
        <v>19</v>
      </c>
    </row>
    <row r="216" spans="1:12" ht="20" customHeight="1" x14ac:dyDescent="0.15">
      <c r="A216" s="8" t="s">
        <v>909</v>
      </c>
      <c r="B216" s="9" t="s">
        <v>910</v>
      </c>
      <c r="C216" s="10">
        <v>2024</v>
      </c>
      <c r="D216" s="11" t="s">
        <v>15</v>
      </c>
      <c r="E216" s="11" t="s">
        <v>640</v>
      </c>
      <c r="F216" s="11" t="s">
        <v>75</v>
      </c>
      <c r="G216" s="12"/>
      <c r="H216" s="11" t="s">
        <v>911</v>
      </c>
      <c r="I216" s="11" t="s">
        <v>912</v>
      </c>
      <c r="J216" s="10">
        <v>0</v>
      </c>
      <c r="K216" s="10">
        <v>0</v>
      </c>
      <c r="L216" s="11" t="s">
        <v>19</v>
      </c>
    </row>
    <row r="217" spans="1:12" ht="20" customHeight="1" x14ac:dyDescent="0.15">
      <c r="A217" s="8" t="s">
        <v>913</v>
      </c>
      <c r="B217" s="9" t="s">
        <v>914</v>
      </c>
      <c r="C217" s="10">
        <v>2024</v>
      </c>
      <c r="D217" s="11" t="s">
        <v>15</v>
      </c>
      <c r="E217" s="11" t="s">
        <v>640</v>
      </c>
      <c r="F217" s="11" t="s">
        <v>75</v>
      </c>
      <c r="G217" s="12"/>
      <c r="H217" s="12"/>
      <c r="I217" s="11" t="s">
        <v>915</v>
      </c>
      <c r="J217" s="10">
        <v>0</v>
      </c>
      <c r="K217" s="10">
        <v>0</v>
      </c>
      <c r="L217" s="11" t="s">
        <v>19</v>
      </c>
    </row>
    <row r="218" spans="1:12" ht="20" customHeight="1" x14ac:dyDescent="0.15">
      <c r="A218" s="8" t="s">
        <v>916</v>
      </c>
      <c r="B218" s="9" t="s">
        <v>917</v>
      </c>
      <c r="C218" s="10">
        <v>2024</v>
      </c>
      <c r="D218" s="11" t="s">
        <v>15</v>
      </c>
      <c r="E218" s="11" t="s">
        <v>640</v>
      </c>
      <c r="F218" s="11" t="s">
        <v>32</v>
      </c>
      <c r="G218" s="12"/>
      <c r="H218" s="11" t="s">
        <v>918</v>
      </c>
      <c r="I218" s="11" t="s">
        <v>919</v>
      </c>
      <c r="J218" s="10">
        <v>0</v>
      </c>
      <c r="K218" s="10">
        <v>0</v>
      </c>
      <c r="L218" s="11" t="s">
        <v>19</v>
      </c>
    </row>
    <row r="219" spans="1:12" ht="20" customHeight="1" x14ac:dyDescent="0.15">
      <c r="A219" s="8" t="s">
        <v>920</v>
      </c>
      <c r="B219" s="9" t="s">
        <v>921</v>
      </c>
      <c r="C219" s="10">
        <v>2024</v>
      </c>
      <c r="D219" s="11" t="s">
        <v>922</v>
      </c>
      <c r="E219" s="11" t="s">
        <v>640</v>
      </c>
      <c r="F219" s="11" t="s">
        <v>32</v>
      </c>
      <c r="G219" s="11" t="s">
        <v>194</v>
      </c>
      <c r="H219" s="11" t="s">
        <v>923</v>
      </c>
      <c r="I219" s="11" t="s">
        <v>924</v>
      </c>
      <c r="J219" s="10">
        <v>0</v>
      </c>
      <c r="K219" s="10">
        <v>0</v>
      </c>
      <c r="L219" s="11" t="s">
        <v>29</v>
      </c>
    </row>
    <row r="220" spans="1:12" ht="20" customHeight="1" x14ac:dyDescent="0.15">
      <c r="A220" s="8" t="s">
        <v>925</v>
      </c>
      <c r="B220" s="9" t="s">
        <v>926</v>
      </c>
      <c r="C220" s="10">
        <v>2024</v>
      </c>
      <c r="D220" s="11" t="s">
        <v>15</v>
      </c>
      <c r="E220" s="11" t="s">
        <v>640</v>
      </c>
      <c r="F220" s="11" t="s">
        <v>32</v>
      </c>
      <c r="G220" s="12"/>
      <c r="H220" s="12"/>
      <c r="I220" s="11" t="s">
        <v>927</v>
      </c>
      <c r="J220" s="10">
        <v>0</v>
      </c>
      <c r="K220" s="10">
        <v>0</v>
      </c>
      <c r="L220" s="11" t="s">
        <v>19</v>
      </c>
    </row>
    <row r="221" spans="1:12" ht="20" customHeight="1" x14ac:dyDescent="0.15">
      <c r="A221" s="8" t="s">
        <v>928</v>
      </c>
      <c r="B221" s="9" t="s">
        <v>929</v>
      </c>
      <c r="C221" s="10">
        <v>2024</v>
      </c>
      <c r="D221" s="11" t="s">
        <v>315</v>
      </c>
      <c r="E221" s="11" t="s">
        <v>640</v>
      </c>
      <c r="F221" s="11" t="s">
        <v>32</v>
      </c>
      <c r="G221" s="11" t="s">
        <v>930</v>
      </c>
      <c r="H221" s="11" t="s">
        <v>931</v>
      </c>
      <c r="I221" s="11" t="s">
        <v>932</v>
      </c>
      <c r="J221" s="10">
        <v>0</v>
      </c>
      <c r="K221" s="10">
        <v>1</v>
      </c>
      <c r="L221" s="11" t="s">
        <v>29</v>
      </c>
    </row>
    <row r="222" spans="1:12" ht="20" customHeight="1" x14ac:dyDescent="0.15">
      <c r="A222" s="8" t="s">
        <v>933</v>
      </c>
      <c r="B222" s="9" t="s">
        <v>934</v>
      </c>
      <c r="C222" s="10">
        <v>2023</v>
      </c>
      <c r="D222" s="11" t="s">
        <v>193</v>
      </c>
      <c r="E222" s="11" t="s">
        <v>640</v>
      </c>
      <c r="F222" s="11" t="s">
        <v>75</v>
      </c>
      <c r="G222" s="11" t="s">
        <v>170</v>
      </c>
      <c r="H222" s="11" t="s">
        <v>935</v>
      </c>
      <c r="I222" s="11" t="s">
        <v>936</v>
      </c>
      <c r="J222" s="10">
        <v>0</v>
      </c>
      <c r="K222" s="10">
        <v>0</v>
      </c>
      <c r="L222" s="11" t="s">
        <v>29</v>
      </c>
    </row>
    <row r="223" spans="1:12" ht="20" customHeight="1" x14ac:dyDescent="0.15">
      <c r="A223" s="8" t="s">
        <v>937</v>
      </c>
      <c r="B223" s="9" t="s">
        <v>938</v>
      </c>
      <c r="C223" s="10">
        <v>2023</v>
      </c>
      <c r="D223" s="11" t="s">
        <v>15</v>
      </c>
      <c r="E223" s="11" t="s">
        <v>640</v>
      </c>
      <c r="F223" s="11" t="s">
        <v>75</v>
      </c>
      <c r="G223" s="12"/>
      <c r="H223" s="12"/>
      <c r="I223" s="11" t="s">
        <v>939</v>
      </c>
      <c r="J223" s="10">
        <v>0</v>
      </c>
      <c r="K223" s="10">
        <v>0</v>
      </c>
      <c r="L223" s="11" t="s">
        <v>19</v>
      </c>
    </row>
    <row r="224" spans="1:12" ht="20" customHeight="1" x14ac:dyDescent="0.15">
      <c r="A224" s="8" t="s">
        <v>940</v>
      </c>
      <c r="B224" s="9" t="s">
        <v>941</v>
      </c>
      <c r="C224" s="10">
        <v>2023</v>
      </c>
      <c r="D224" s="11" t="s">
        <v>942</v>
      </c>
      <c r="E224" s="11" t="s">
        <v>640</v>
      </c>
      <c r="F224" s="11" t="s">
        <v>32</v>
      </c>
      <c r="G224" s="12"/>
      <c r="H224" s="11" t="s">
        <v>943</v>
      </c>
      <c r="I224" s="11" t="s">
        <v>944</v>
      </c>
      <c r="J224" s="10">
        <v>0</v>
      </c>
      <c r="K224" s="10">
        <v>0</v>
      </c>
      <c r="L224" s="11" t="s">
        <v>19</v>
      </c>
    </row>
    <row r="225" spans="1:12" ht="20" customHeight="1" x14ac:dyDescent="0.15">
      <c r="A225" s="8" t="s">
        <v>945</v>
      </c>
      <c r="B225" s="9" t="s">
        <v>946</v>
      </c>
      <c r="C225" s="10">
        <v>2023</v>
      </c>
      <c r="D225" s="11" t="s">
        <v>15</v>
      </c>
      <c r="E225" s="11" t="s">
        <v>640</v>
      </c>
      <c r="F225" s="11" t="s">
        <v>75</v>
      </c>
      <c r="G225" s="12"/>
      <c r="H225" s="11" t="s">
        <v>947</v>
      </c>
      <c r="I225" s="11" t="s">
        <v>948</v>
      </c>
      <c r="J225" s="10">
        <v>0</v>
      </c>
      <c r="K225" s="10">
        <v>1</v>
      </c>
      <c r="L225" s="11" t="s">
        <v>78</v>
      </c>
    </row>
    <row r="226" spans="1:12" ht="20" customHeight="1" x14ac:dyDescent="0.15">
      <c r="A226" s="8" t="s">
        <v>949</v>
      </c>
      <c r="B226" s="9" t="s">
        <v>950</v>
      </c>
      <c r="C226" s="10">
        <v>2023</v>
      </c>
      <c r="D226" s="11" t="s">
        <v>15</v>
      </c>
      <c r="E226" s="11" t="s">
        <v>640</v>
      </c>
      <c r="F226" s="11" t="s">
        <v>75</v>
      </c>
      <c r="G226" s="12"/>
      <c r="H226" s="12"/>
      <c r="I226" s="11" t="s">
        <v>951</v>
      </c>
      <c r="J226" s="10">
        <v>0</v>
      </c>
      <c r="K226" s="10">
        <v>1</v>
      </c>
      <c r="L226" s="11" t="s">
        <v>78</v>
      </c>
    </row>
    <row r="227" spans="1:12" ht="20" customHeight="1" x14ac:dyDescent="0.15">
      <c r="A227" s="8" t="s">
        <v>952</v>
      </c>
      <c r="B227" s="9" t="s">
        <v>953</v>
      </c>
      <c r="C227" s="10">
        <v>2022</v>
      </c>
      <c r="D227" s="11" t="s">
        <v>15</v>
      </c>
      <c r="E227" s="11" t="s">
        <v>640</v>
      </c>
      <c r="F227" s="11" t="s">
        <v>75</v>
      </c>
      <c r="G227" s="12"/>
      <c r="H227" s="12"/>
      <c r="I227" s="11" t="s">
        <v>954</v>
      </c>
      <c r="J227" s="10">
        <v>0</v>
      </c>
      <c r="K227" s="10">
        <v>0</v>
      </c>
      <c r="L227" s="11" t="s">
        <v>19</v>
      </c>
    </row>
    <row r="228" spans="1:12" ht="20" customHeight="1" x14ac:dyDescent="0.15">
      <c r="A228" s="8" t="s">
        <v>955</v>
      </c>
      <c r="B228" s="9" t="s">
        <v>956</v>
      </c>
      <c r="C228" s="10">
        <v>2026</v>
      </c>
      <c r="D228" s="11" t="s">
        <v>15</v>
      </c>
      <c r="E228" s="11" t="s">
        <v>957</v>
      </c>
      <c r="F228" s="11" t="s">
        <v>75</v>
      </c>
      <c r="G228" s="12"/>
      <c r="H228" s="12"/>
      <c r="I228" s="11" t="s">
        <v>958</v>
      </c>
      <c r="J228" s="10">
        <v>0</v>
      </c>
      <c r="K228" s="10">
        <v>0</v>
      </c>
      <c r="L228" s="11" t="s">
        <v>19</v>
      </c>
    </row>
    <row r="229" spans="1:12" ht="20" customHeight="1" x14ac:dyDescent="0.15">
      <c r="A229" s="8" t="s">
        <v>959</v>
      </c>
      <c r="B229" s="9" t="s">
        <v>960</v>
      </c>
      <c r="C229" s="10">
        <v>2026</v>
      </c>
      <c r="D229" s="11" t="s">
        <v>15</v>
      </c>
      <c r="E229" s="11" t="s">
        <v>957</v>
      </c>
      <c r="F229" s="11" t="s">
        <v>75</v>
      </c>
      <c r="G229" s="12"/>
      <c r="H229" s="12"/>
      <c r="I229" s="11" t="s">
        <v>961</v>
      </c>
      <c r="J229" s="10">
        <v>0</v>
      </c>
      <c r="K229" s="10">
        <v>0</v>
      </c>
      <c r="L229" s="11" t="s">
        <v>19</v>
      </c>
    </row>
    <row r="230" spans="1:12" ht="20" customHeight="1" x14ac:dyDescent="0.15">
      <c r="A230" s="8" t="s">
        <v>962</v>
      </c>
      <c r="B230" s="9" t="s">
        <v>963</v>
      </c>
      <c r="C230" s="10">
        <v>2026</v>
      </c>
      <c r="D230" s="11" t="s">
        <v>15</v>
      </c>
      <c r="E230" s="11" t="s">
        <v>957</v>
      </c>
      <c r="F230" s="11" t="s">
        <v>75</v>
      </c>
      <c r="G230" s="12"/>
      <c r="H230" s="12"/>
      <c r="I230" s="11" t="s">
        <v>964</v>
      </c>
      <c r="J230" s="10">
        <v>0</v>
      </c>
      <c r="K230" s="10">
        <v>0</v>
      </c>
      <c r="L230" s="11" t="s">
        <v>19</v>
      </c>
    </row>
    <row r="231" spans="1:12" ht="20" customHeight="1" x14ac:dyDescent="0.15">
      <c r="A231" s="8" t="s">
        <v>965</v>
      </c>
      <c r="B231" s="9" t="s">
        <v>966</v>
      </c>
      <c r="C231" s="10">
        <v>2026</v>
      </c>
      <c r="D231" s="11" t="s">
        <v>15</v>
      </c>
      <c r="E231" s="11" t="s">
        <v>957</v>
      </c>
      <c r="F231" s="11" t="s">
        <v>75</v>
      </c>
      <c r="G231" s="12"/>
      <c r="H231" s="12"/>
      <c r="I231" s="11" t="s">
        <v>967</v>
      </c>
      <c r="J231" s="10">
        <v>0</v>
      </c>
      <c r="K231" s="10">
        <v>0</v>
      </c>
      <c r="L231" s="11" t="s">
        <v>19</v>
      </c>
    </row>
    <row r="232" spans="1:12" ht="20" customHeight="1" x14ac:dyDescent="0.15">
      <c r="A232" s="8" t="s">
        <v>968</v>
      </c>
      <c r="B232" s="9" t="s">
        <v>969</v>
      </c>
      <c r="C232" s="10">
        <v>2026</v>
      </c>
      <c r="D232" s="11" t="s">
        <v>15</v>
      </c>
      <c r="E232" s="11" t="s">
        <v>957</v>
      </c>
      <c r="F232" s="11" t="s">
        <v>75</v>
      </c>
      <c r="G232" s="12"/>
      <c r="H232" s="12"/>
      <c r="I232" s="11" t="s">
        <v>970</v>
      </c>
      <c r="J232" s="10">
        <v>0</v>
      </c>
      <c r="K232" s="10">
        <v>0</v>
      </c>
      <c r="L232" s="11" t="s">
        <v>19</v>
      </c>
    </row>
    <row r="233" spans="1:12" ht="20" customHeight="1" x14ac:dyDescent="0.15">
      <c r="A233" s="8" t="s">
        <v>971</v>
      </c>
      <c r="B233" s="9" t="s">
        <v>972</v>
      </c>
      <c r="C233" s="10">
        <v>2026</v>
      </c>
      <c r="D233" s="11" t="s">
        <v>15</v>
      </c>
      <c r="E233" s="11" t="s">
        <v>957</v>
      </c>
      <c r="F233" s="11" t="s">
        <v>75</v>
      </c>
      <c r="G233" s="12"/>
      <c r="H233" s="12"/>
      <c r="I233" s="11" t="s">
        <v>973</v>
      </c>
      <c r="J233" s="10">
        <v>0</v>
      </c>
      <c r="K233" s="10">
        <v>0</v>
      </c>
      <c r="L233" s="11" t="s">
        <v>19</v>
      </c>
    </row>
    <row r="234" spans="1:12" ht="20" customHeight="1" x14ac:dyDescent="0.15">
      <c r="A234" s="8" t="s">
        <v>974</v>
      </c>
      <c r="B234" s="9" t="s">
        <v>975</v>
      </c>
      <c r="C234" s="10">
        <v>2026</v>
      </c>
      <c r="D234" s="11" t="s">
        <v>15</v>
      </c>
      <c r="E234" s="11" t="s">
        <v>957</v>
      </c>
      <c r="F234" s="11" t="s">
        <v>75</v>
      </c>
      <c r="G234" s="12"/>
      <c r="H234" s="12"/>
      <c r="I234" s="11" t="s">
        <v>976</v>
      </c>
      <c r="J234" s="10">
        <v>0</v>
      </c>
      <c r="K234" s="10">
        <v>0</v>
      </c>
      <c r="L234" s="11" t="s">
        <v>19</v>
      </c>
    </row>
    <row r="235" spans="1:12" ht="20" customHeight="1" x14ac:dyDescent="0.15">
      <c r="A235" s="8" t="s">
        <v>977</v>
      </c>
      <c r="B235" s="9" t="s">
        <v>978</v>
      </c>
      <c r="C235" s="10">
        <v>2026</v>
      </c>
      <c r="D235" s="11" t="s">
        <v>15</v>
      </c>
      <c r="E235" s="11" t="s">
        <v>957</v>
      </c>
      <c r="F235" s="11" t="s">
        <v>32</v>
      </c>
      <c r="G235" s="12"/>
      <c r="H235" s="12"/>
      <c r="I235" s="11" t="s">
        <v>979</v>
      </c>
      <c r="J235" s="10">
        <v>0</v>
      </c>
      <c r="K235" s="10">
        <v>0</v>
      </c>
      <c r="L235" s="11" t="s">
        <v>19</v>
      </c>
    </row>
    <row r="236" spans="1:12" ht="20" customHeight="1" x14ac:dyDescent="0.15">
      <c r="A236" s="8" t="s">
        <v>980</v>
      </c>
      <c r="B236" s="9" t="s">
        <v>981</v>
      </c>
      <c r="C236" s="10">
        <v>2026</v>
      </c>
      <c r="D236" s="11" t="s">
        <v>15</v>
      </c>
      <c r="E236" s="11" t="s">
        <v>957</v>
      </c>
      <c r="F236" s="11" t="s">
        <v>32</v>
      </c>
      <c r="G236" s="12"/>
      <c r="H236" s="12"/>
      <c r="I236" s="11" t="s">
        <v>982</v>
      </c>
      <c r="J236" s="10">
        <v>0</v>
      </c>
      <c r="K236" s="10">
        <v>0</v>
      </c>
      <c r="L236" s="11" t="s">
        <v>19</v>
      </c>
    </row>
    <row r="237" spans="1:12" ht="20" customHeight="1" x14ac:dyDescent="0.15">
      <c r="A237" s="8" t="s">
        <v>983</v>
      </c>
      <c r="B237" s="9" t="s">
        <v>984</v>
      </c>
      <c r="C237" s="10">
        <v>2026</v>
      </c>
      <c r="D237" s="11" t="s">
        <v>15</v>
      </c>
      <c r="E237" s="11" t="s">
        <v>957</v>
      </c>
      <c r="F237" s="11" t="s">
        <v>32</v>
      </c>
      <c r="G237" s="12"/>
      <c r="H237" s="12"/>
      <c r="I237" s="11" t="s">
        <v>985</v>
      </c>
      <c r="J237" s="10">
        <v>0</v>
      </c>
      <c r="K237" s="10">
        <v>0</v>
      </c>
      <c r="L237" s="11" t="s">
        <v>19</v>
      </c>
    </row>
    <row r="238" spans="1:12" ht="20" customHeight="1" x14ac:dyDescent="0.15">
      <c r="A238" s="8" t="s">
        <v>986</v>
      </c>
      <c r="B238" s="9" t="s">
        <v>987</v>
      </c>
      <c r="C238" s="10">
        <v>2025</v>
      </c>
      <c r="D238" s="11" t="s">
        <v>988</v>
      </c>
      <c r="E238" s="11" t="s">
        <v>957</v>
      </c>
      <c r="F238" s="11" t="s">
        <v>75</v>
      </c>
      <c r="G238" s="11" t="s">
        <v>826</v>
      </c>
      <c r="H238" s="11" t="s">
        <v>989</v>
      </c>
      <c r="I238" s="11" t="s">
        <v>990</v>
      </c>
      <c r="J238" s="10">
        <v>0</v>
      </c>
      <c r="K238" s="10">
        <v>0</v>
      </c>
      <c r="L238" s="11" t="s">
        <v>29</v>
      </c>
    </row>
    <row r="239" spans="1:12" ht="20" customHeight="1" x14ac:dyDescent="0.15">
      <c r="A239" s="8" t="s">
        <v>991</v>
      </c>
      <c r="B239" s="9" t="s">
        <v>992</v>
      </c>
      <c r="C239" s="10">
        <v>2025</v>
      </c>
      <c r="D239" s="11" t="s">
        <v>15</v>
      </c>
      <c r="E239" s="11" t="s">
        <v>957</v>
      </c>
      <c r="F239" s="11" t="s">
        <v>75</v>
      </c>
      <c r="G239" s="12"/>
      <c r="H239" s="12"/>
      <c r="I239" s="11" t="s">
        <v>993</v>
      </c>
      <c r="J239" s="10">
        <v>0</v>
      </c>
      <c r="K239" s="10">
        <v>0</v>
      </c>
      <c r="L239" s="11" t="s">
        <v>19</v>
      </c>
    </row>
    <row r="240" spans="1:12" ht="20" customHeight="1" x14ac:dyDescent="0.15">
      <c r="A240" s="8" t="s">
        <v>994</v>
      </c>
      <c r="B240" s="9" t="s">
        <v>995</v>
      </c>
      <c r="C240" s="10">
        <v>2025</v>
      </c>
      <c r="D240" s="11" t="s">
        <v>15</v>
      </c>
      <c r="E240" s="11" t="s">
        <v>957</v>
      </c>
      <c r="F240" s="11" t="s">
        <v>75</v>
      </c>
      <c r="G240" s="12"/>
      <c r="H240" s="12"/>
      <c r="I240" s="11" t="s">
        <v>996</v>
      </c>
      <c r="J240" s="10">
        <v>0</v>
      </c>
      <c r="K240" s="10">
        <v>0</v>
      </c>
      <c r="L240" s="11" t="s">
        <v>19</v>
      </c>
    </row>
    <row r="241" spans="1:12" ht="20" customHeight="1" x14ac:dyDescent="0.15">
      <c r="A241" s="8" t="s">
        <v>997</v>
      </c>
      <c r="B241" s="9" t="s">
        <v>998</v>
      </c>
      <c r="C241" s="10">
        <v>2025</v>
      </c>
      <c r="D241" s="11" t="s">
        <v>15</v>
      </c>
      <c r="E241" s="11" t="s">
        <v>957</v>
      </c>
      <c r="F241" s="11" t="s">
        <v>32</v>
      </c>
      <c r="G241" s="12"/>
      <c r="H241" s="12"/>
      <c r="I241" s="11" t="s">
        <v>999</v>
      </c>
      <c r="J241" s="10">
        <v>0</v>
      </c>
      <c r="K241" s="10">
        <v>0</v>
      </c>
      <c r="L241" s="11" t="s">
        <v>19</v>
      </c>
    </row>
    <row r="242" spans="1:12" ht="20" customHeight="1" x14ac:dyDescent="0.15">
      <c r="A242" s="8" t="s">
        <v>1000</v>
      </c>
      <c r="B242" s="9" t="s">
        <v>1001</v>
      </c>
      <c r="C242" s="10">
        <v>2025</v>
      </c>
      <c r="D242" s="11" t="s">
        <v>15</v>
      </c>
      <c r="E242" s="11" t="s">
        <v>957</v>
      </c>
      <c r="F242" s="11" t="s">
        <v>32</v>
      </c>
      <c r="G242" s="12"/>
      <c r="H242" s="12"/>
      <c r="I242" s="11" t="s">
        <v>1002</v>
      </c>
      <c r="J242" s="10">
        <v>0</v>
      </c>
      <c r="K242" s="10">
        <v>0</v>
      </c>
      <c r="L242" s="11" t="s">
        <v>19</v>
      </c>
    </row>
    <row r="243" spans="1:12" ht="20" customHeight="1" x14ac:dyDescent="0.15">
      <c r="A243" s="8" t="s">
        <v>1003</v>
      </c>
      <c r="B243" s="9" t="s">
        <v>1004</v>
      </c>
      <c r="C243" s="10">
        <v>2025</v>
      </c>
      <c r="D243" s="11" t="s">
        <v>549</v>
      </c>
      <c r="E243" s="11" t="s">
        <v>957</v>
      </c>
      <c r="F243" s="11" t="s">
        <v>32</v>
      </c>
      <c r="G243" s="11" t="s">
        <v>62</v>
      </c>
      <c r="H243" s="11" t="s">
        <v>1005</v>
      </c>
      <c r="I243" s="11" t="s">
        <v>1006</v>
      </c>
      <c r="J243" s="10">
        <v>1</v>
      </c>
      <c r="K243" s="10">
        <v>0</v>
      </c>
      <c r="L243" s="11" t="s">
        <v>29</v>
      </c>
    </row>
    <row r="244" spans="1:12" ht="20" customHeight="1" x14ac:dyDescent="0.15">
      <c r="A244" s="8" t="s">
        <v>1007</v>
      </c>
      <c r="B244" s="9" t="s">
        <v>1008</v>
      </c>
      <c r="C244" s="10">
        <v>2024</v>
      </c>
      <c r="D244" s="11" t="s">
        <v>15</v>
      </c>
      <c r="E244" s="11" t="s">
        <v>957</v>
      </c>
      <c r="F244" s="11" t="s">
        <v>75</v>
      </c>
      <c r="G244" s="12"/>
      <c r="H244" s="12"/>
      <c r="I244" s="11" t="s">
        <v>1009</v>
      </c>
      <c r="J244" s="10">
        <v>0</v>
      </c>
      <c r="K244" s="10">
        <v>0</v>
      </c>
      <c r="L244" s="11" t="s">
        <v>19</v>
      </c>
    </row>
    <row r="245" spans="1:12" ht="20" customHeight="1" x14ac:dyDescent="0.15">
      <c r="A245" s="8" t="s">
        <v>1010</v>
      </c>
      <c r="B245" s="9" t="s">
        <v>1011</v>
      </c>
      <c r="C245" s="10">
        <v>2024</v>
      </c>
      <c r="D245" s="11" t="s">
        <v>193</v>
      </c>
      <c r="E245" s="11" t="s">
        <v>957</v>
      </c>
      <c r="F245" s="11" t="s">
        <v>75</v>
      </c>
      <c r="G245" s="11" t="s">
        <v>660</v>
      </c>
      <c r="H245" s="11" t="s">
        <v>1012</v>
      </c>
      <c r="I245" s="11" t="s">
        <v>1013</v>
      </c>
      <c r="J245" s="10">
        <v>0</v>
      </c>
      <c r="K245" s="10">
        <v>0</v>
      </c>
      <c r="L245" s="11" t="s">
        <v>29</v>
      </c>
    </row>
    <row r="246" spans="1:12" ht="20" customHeight="1" x14ac:dyDescent="0.15">
      <c r="A246" s="8" t="s">
        <v>1014</v>
      </c>
      <c r="B246" s="9" t="s">
        <v>1015</v>
      </c>
      <c r="C246" s="10">
        <v>2024</v>
      </c>
      <c r="D246" s="11" t="s">
        <v>15</v>
      </c>
      <c r="E246" s="11" t="s">
        <v>957</v>
      </c>
      <c r="F246" s="11" t="s">
        <v>75</v>
      </c>
      <c r="G246" s="12"/>
      <c r="H246" s="12"/>
      <c r="I246" s="11" t="s">
        <v>1016</v>
      </c>
      <c r="J246" s="10">
        <v>0</v>
      </c>
      <c r="K246" s="10">
        <v>0</v>
      </c>
      <c r="L246" s="11" t="s">
        <v>19</v>
      </c>
    </row>
    <row r="247" spans="1:12" ht="20" customHeight="1" x14ac:dyDescent="0.15">
      <c r="A247" s="8" t="s">
        <v>1017</v>
      </c>
      <c r="B247" s="9" t="s">
        <v>1018</v>
      </c>
      <c r="C247" s="10">
        <v>2024</v>
      </c>
      <c r="D247" s="11" t="s">
        <v>15</v>
      </c>
      <c r="E247" s="11" t="s">
        <v>957</v>
      </c>
      <c r="F247" s="11" t="s">
        <v>32</v>
      </c>
      <c r="G247" s="12"/>
      <c r="H247" s="12"/>
      <c r="I247" s="11" t="s">
        <v>1019</v>
      </c>
      <c r="J247" s="10">
        <v>0</v>
      </c>
      <c r="K247" s="10">
        <v>0</v>
      </c>
      <c r="L247" s="11" t="s">
        <v>19</v>
      </c>
    </row>
    <row r="248" spans="1:12" ht="20" customHeight="1" x14ac:dyDescent="0.15">
      <c r="A248" s="8" t="s">
        <v>1020</v>
      </c>
      <c r="B248" s="9" t="s">
        <v>1021</v>
      </c>
      <c r="C248" s="10">
        <v>2023</v>
      </c>
      <c r="D248" s="11" t="s">
        <v>1022</v>
      </c>
      <c r="E248" s="11" t="s">
        <v>957</v>
      </c>
      <c r="F248" s="11" t="s">
        <v>75</v>
      </c>
      <c r="G248" s="11" t="s">
        <v>170</v>
      </c>
      <c r="H248" s="11" t="s">
        <v>1023</v>
      </c>
      <c r="I248" s="11" t="s">
        <v>1024</v>
      </c>
      <c r="J248" s="10">
        <v>0</v>
      </c>
      <c r="K248" s="10">
        <v>0</v>
      </c>
      <c r="L248" s="11" t="s">
        <v>29</v>
      </c>
    </row>
    <row r="249" spans="1:12" ht="20" customHeight="1" x14ac:dyDescent="0.15">
      <c r="A249" s="8" t="s">
        <v>1025</v>
      </c>
      <c r="B249" s="9" t="s">
        <v>1026</v>
      </c>
      <c r="C249" s="10">
        <v>2023</v>
      </c>
      <c r="D249" s="11" t="s">
        <v>15</v>
      </c>
      <c r="E249" s="11" t="s">
        <v>957</v>
      </c>
      <c r="F249" s="11" t="s">
        <v>75</v>
      </c>
      <c r="G249" s="12"/>
      <c r="H249" s="12"/>
      <c r="I249" s="11" t="s">
        <v>1027</v>
      </c>
      <c r="J249" s="10">
        <v>0</v>
      </c>
      <c r="K249" s="10">
        <v>0</v>
      </c>
      <c r="L249" s="11" t="s">
        <v>19</v>
      </c>
    </row>
    <row r="250" spans="1:12" ht="20" customHeight="1" x14ac:dyDescent="0.15">
      <c r="A250" s="8" t="s">
        <v>1028</v>
      </c>
      <c r="B250" s="9" t="s">
        <v>1029</v>
      </c>
      <c r="C250" s="10">
        <v>2023</v>
      </c>
      <c r="D250" s="11" t="s">
        <v>315</v>
      </c>
      <c r="E250" s="11" t="s">
        <v>957</v>
      </c>
      <c r="F250" s="11" t="s">
        <v>32</v>
      </c>
      <c r="G250" s="11" t="s">
        <v>832</v>
      </c>
      <c r="H250" s="11" t="s">
        <v>1030</v>
      </c>
      <c r="I250" s="11" t="s">
        <v>1031</v>
      </c>
      <c r="J250" s="10">
        <v>0</v>
      </c>
      <c r="K250" s="10">
        <v>0</v>
      </c>
      <c r="L250" s="11" t="s">
        <v>29</v>
      </c>
    </row>
    <row r="251" spans="1:12" ht="20" customHeight="1" x14ac:dyDescent="0.15">
      <c r="A251" s="8" t="s">
        <v>1032</v>
      </c>
      <c r="B251" s="9" t="s">
        <v>1033</v>
      </c>
      <c r="C251" s="10">
        <v>2023</v>
      </c>
      <c r="D251" s="12"/>
      <c r="E251" s="11" t="s">
        <v>957</v>
      </c>
      <c r="F251" s="11" t="s">
        <v>75</v>
      </c>
      <c r="G251" s="11" t="s">
        <v>1034</v>
      </c>
      <c r="H251" s="11" t="s">
        <v>1035</v>
      </c>
      <c r="I251" s="12"/>
      <c r="J251" s="10">
        <v>0</v>
      </c>
      <c r="K251" s="10">
        <v>1</v>
      </c>
      <c r="L251" s="11" t="s">
        <v>78</v>
      </c>
    </row>
    <row r="252" spans="1:12" ht="20" customHeight="1" x14ac:dyDescent="0.15">
      <c r="A252" s="8" t="s">
        <v>1036</v>
      </c>
      <c r="B252" s="9" t="s">
        <v>1037</v>
      </c>
      <c r="C252" s="10">
        <v>2021</v>
      </c>
      <c r="D252" s="11" t="s">
        <v>1038</v>
      </c>
      <c r="E252" s="11" t="s">
        <v>957</v>
      </c>
      <c r="F252" s="11" t="s">
        <v>75</v>
      </c>
      <c r="G252" s="11" t="s">
        <v>1039</v>
      </c>
      <c r="H252" s="11" t="s">
        <v>1040</v>
      </c>
      <c r="I252" s="11" t="s">
        <v>1041</v>
      </c>
      <c r="J252" s="10">
        <v>0</v>
      </c>
      <c r="K252" s="10">
        <v>0</v>
      </c>
      <c r="L252" s="11" t="s">
        <v>29</v>
      </c>
    </row>
    <row r="253" spans="1:12" ht="20" customHeight="1" x14ac:dyDescent="0.15">
      <c r="A253" s="8" t="s">
        <v>1042</v>
      </c>
      <c r="B253" s="9" t="s">
        <v>1043</v>
      </c>
      <c r="C253" s="10">
        <v>2021</v>
      </c>
      <c r="D253" s="11" t="s">
        <v>1044</v>
      </c>
      <c r="E253" s="11" t="s">
        <v>957</v>
      </c>
      <c r="F253" s="11" t="s">
        <v>75</v>
      </c>
      <c r="G253" s="11" t="s">
        <v>26</v>
      </c>
      <c r="H253" s="11" t="s">
        <v>1045</v>
      </c>
      <c r="I253" s="11" t="s">
        <v>1046</v>
      </c>
      <c r="J253" s="10">
        <v>0</v>
      </c>
      <c r="K253" s="10">
        <v>0</v>
      </c>
      <c r="L253" s="11" t="s">
        <v>29</v>
      </c>
    </row>
    <row r="254" spans="1:12" ht="20" customHeight="1" x14ac:dyDescent="0.15">
      <c r="A254" s="8" t="s">
        <v>1047</v>
      </c>
      <c r="B254" s="9" t="s">
        <v>1048</v>
      </c>
      <c r="C254" s="10">
        <v>2021</v>
      </c>
      <c r="D254" s="12"/>
      <c r="E254" s="11" t="s">
        <v>957</v>
      </c>
      <c r="F254" s="11" t="s">
        <v>75</v>
      </c>
      <c r="G254" s="11" t="s">
        <v>1049</v>
      </c>
      <c r="H254" s="11" t="s">
        <v>1050</v>
      </c>
      <c r="I254" s="12"/>
      <c r="J254" s="10">
        <v>0</v>
      </c>
      <c r="K254" s="10">
        <v>1</v>
      </c>
      <c r="L254" s="11" t="s">
        <v>78</v>
      </c>
    </row>
    <row r="255" spans="1:12" ht="20" customHeight="1" x14ac:dyDescent="0.15">
      <c r="A255" s="8" t="s">
        <v>1051</v>
      </c>
      <c r="B255" s="9" t="s">
        <v>1052</v>
      </c>
      <c r="C255" s="10">
        <v>2026</v>
      </c>
      <c r="D255" s="11" t="s">
        <v>15</v>
      </c>
      <c r="E255" s="11" t="s">
        <v>1053</v>
      </c>
      <c r="F255" s="11" t="s">
        <v>75</v>
      </c>
      <c r="G255" s="12"/>
      <c r="H255" s="12"/>
      <c r="I255" s="11" t="s">
        <v>1054</v>
      </c>
      <c r="J255" s="10">
        <v>0</v>
      </c>
      <c r="K255" s="10">
        <v>0</v>
      </c>
      <c r="L255" s="11" t="s">
        <v>19</v>
      </c>
    </row>
    <row r="256" spans="1:12" ht="20" customHeight="1" x14ac:dyDescent="0.15">
      <c r="A256" s="8" t="s">
        <v>1055</v>
      </c>
      <c r="B256" s="9" t="s">
        <v>1056</v>
      </c>
      <c r="C256" s="10">
        <v>2026</v>
      </c>
      <c r="D256" s="11" t="s">
        <v>15</v>
      </c>
      <c r="E256" s="11" t="s">
        <v>1053</v>
      </c>
      <c r="F256" s="11" t="s">
        <v>75</v>
      </c>
      <c r="G256" s="12"/>
      <c r="H256" s="12"/>
      <c r="I256" s="11" t="s">
        <v>1057</v>
      </c>
      <c r="J256" s="10">
        <v>0</v>
      </c>
      <c r="K256" s="10">
        <v>0</v>
      </c>
      <c r="L256" s="11" t="s">
        <v>19</v>
      </c>
    </row>
    <row r="257" spans="1:12" ht="20" customHeight="1" x14ac:dyDescent="0.15">
      <c r="A257" s="8" t="s">
        <v>1058</v>
      </c>
      <c r="B257" s="9" t="s">
        <v>1059</v>
      </c>
      <c r="C257" s="10">
        <v>2026</v>
      </c>
      <c r="D257" s="11" t="s">
        <v>15</v>
      </c>
      <c r="E257" s="11" t="s">
        <v>1053</v>
      </c>
      <c r="F257" s="11" t="s">
        <v>75</v>
      </c>
      <c r="G257" s="12"/>
      <c r="H257" s="12"/>
      <c r="I257" s="11" t="s">
        <v>1060</v>
      </c>
      <c r="J257" s="10">
        <v>0</v>
      </c>
      <c r="K257" s="10">
        <v>0</v>
      </c>
      <c r="L257" s="11" t="s">
        <v>19</v>
      </c>
    </row>
    <row r="258" spans="1:12" ht="20" customHeight="1" x14ac:dyDescent="0.15">
      <c r="A258" s="8" t="s">
        <v>1061</v>
      </c>
      <c r="B258" s="9" t="s">
        <v>1062</v>
      </c>
      <c r="C258" s="10">
        <v>2026</v>
      </c>
      <c r="D258" s="11" t="s">
        <v>15</v>
      </c>
      <c r="E258" s="11" t="s">
        <v>1053</v>
      </c>
      <c r="F258" s="11" t="s">
        <v>17</v>
      </c>
      <c r="G258" s="12"/>
      <c r="H258" s="12"/>
      <c r="I258" s="11" t="s">
        <v>1063</v>
      </c>
      <c r="J258" s="10">
        <v>0</v>
      </c>
      <c r="K258" s="10">
        <v>0</v>
      </c>
      <c r="L258" s="11" t="s">
        <v>19</v>
      </c>
    </row>
    <row r="259" spans="1:12" ht="20" customHeight="1" x14ac:dyDescent="0.15">
      <c r="A259" s="8" t="s">
        <v>1064</v>
      </c>
      <c r="B259" s="9" t="s">
        <v>1065</v>
      </c>
      <c r="C259" s="10">
        <v>2026</v>
      </c>
      <c r="D259" s="11" t="s">
        <v>15</v>
      </c>
      <c r="E259" s="11" t="s">
        <v>1053</v>
      </c>
      <c r="F259" s="11" t="s">
        <v>75</v>
      </c>
      <c r="G259" s="12"/>
      <c r="H259" s="12"/>
      <c r="I259" s="11" t="s">
        <v>1066</v>
      </c>
      <c r="J259" s="10">
        <v>0</v>
      </c>
      <c r="K259" s="10">
        <v>0</v>
      </c>
      <c r="L259" s="11" t="s">
        <v>19</v>
      </c>
    </row>
    <row r="260" spans="1:12" ht="20" customHeight="1" x14ac:dyDescent="0.15">
      <c r="A260" s="8" t="s">
        <v>1067</v>
      </c>
      <c r="B260" s="9" t="s">
        <v>1068</v>
      </c>
      <c r="C260" s="10">
        <v>2026</v>
      </c>
      <c r="D260" s="11" t="s">
        <v>15</v>
      </c>
      <c r="E260" s="11" t="s">
        <v>1053</v>
      </c>
      <c r="F260" s="11" t="s">
        <v>75</v>
      </c>
      <c r="G260" s="12"/>
      <c r="H260" s="12"/>
      <c r="I260" s="11" t="s">
        <v>1069</v>
      </c>
      <c r="J260" s="10">
        <v>0</v>
      </c>
      <c r="K260" s="10">
        <v>0</v>
      </c>
      <c r="L260" s="11" t="s">
        <v>19</v>
      </c>
    </row>
    <row r="261" spans="1:12" ht="20" customHeight="1" x14ac:dyDescent="0.15">
      <c r="A261" s="8" t="s">
        <v>1070</v>
      </c>
      <c r="B261" s="9" t="s">
        <v>1071</v>
      </c>
      <c r="C261" s="10">
        <v>2026</v>
      </c>
      <c r="D261" s="11" t="s">
        <v>15</v>
      </c>
      <c r="E261" s="11" t="s">
        <v>1053</v>
      </c>
      <c r="F261" s="11" t="s">
        <v>75</v>
      </c>
      <c r="G261" s="12"/>
      <c r="H261" s="12"/>
      <c r="I261" s="11" t="s">
        <v>1072</v>
      </c>
      <c r="J261" s="10">
        <v>0</v>
      </c>
      <c r="K261" s="10">
        <v>0</v>
      </c>
      <c r="L261" s="11" t="s">
        <v>19</v>
      </c>
    </row>
    <row r="262" spans="1:12" ht="20" customHeight="1" x14ac:dyDescent="0.15">
      <c r="A262" s="8" t="s">
        <v>1073</v>
      </c>
      <c r="B262" s="9" t="s">
        <v>1074</v>
      </c>
      <c r="C262" s="10">
        <v>2026</v>
      </c>
      <c r="D262" s="11" t="s">
        <v>15</v>
      </c>
      <c r="E262" s="11" t="s">
        <v>1053</v>
      </c>
      <c r="F262" s="11" t="s">
        <v>17</v>
      </c>
      <c r="G262" s="12"/>
      <c r="H262" s="12"/>
      <c r="I262" s="11" t="s">
        <v>1075</v>
      </c>
      <c r="J262" s="10">
        <v>0</v>
      </c>
      <c r="K262" s="10">
        <v>0</v>
      </c>
      <c r="L262" s="11" t="s">
        <v>19</v>
      </c>
    </row>
    <row r="263" spans="1:12" ht="20" customHeight="1" x14ac:dyDescent="0.15">
      <c r="A263" s="8" t="s">
        <v>1076</v>
      </c>
      <c r="B263" s="9" t="s">
        <v>1077</v>
      </c>
      <c r="C263" s="10">
        <v>2026</v>
      </c>
      <c r="D263" s="11" t="s">
        <v>15</v>
      </c>
      <c r="E263" s="11" t="s">
        <v>1053</v>
      </c>
      <c r="F263" s="11" t="s">
        <v>75</v>
      </c>
      <c r="G263" s="12"/>
      <c r="H263" s="12"/>
      <c r="I263" s="11" t="s">
        <v>1078</v>
      </c>
      <c r="J263" s="10">
        <v>0</v>
      </c>
      <c r="K263" s="10">
        <v>0</v>
      </c>
      <c r="L263" s="11" t="s">
        <v>19</v>
      </c>
    </row>
    <row r="264" spans="1:12" ht="20" customHeight="1" x14ac:dyDescent="0.15">
      <c r="A264" s="8" t="s">
        <v>1079</v>
      </c>
      <c r="B264" s="9" t="s">
        <v>1080</v>
      </c>
      <c r="C264" s="10">
        <v>2026</v>
      </c>
      <c r="D264" s="11" t="s">
        <v>15</v>
      </c>
      <c r="E264" s="11" t="s">
        <v>1053</v>
      </c>
      <c r="F264" s="11" t="s">
        <v>75</v>
      </c>
      <c r="G264" s="12"/>
      <c r="H264" s="12"/>
      <c r="I264" s="11" t="s">
        <v>1081</v>
      </c>
      <c r="J264" s="10">
        <v>0</v>
      </c>
      <c r="K264" s="10">
        <v>0</v>
      </c>
      <c r="L264" s="11" t="s">
        <v>19</v>
      </c>
    </row>
    <row r="265" spans="1:12" ht="20" customHeight="1" x14ac:dyDescent="0.15">
      <c r="A265" s="8" t="s">
        <v>1082</v>
      </c>
      <c r="B265" s="9" t="s">
        <v>1083</v>
      </c>
      <c r="C265" s="10">
        <v>2026</v>
      </c>
      <c r="D265" s="11" t="s">
        <v>15</v>
      </c>
      <c r="E265" s="11" t="s">
        <v>1053</v>
      </c>
      <c r="F265" s="11" t="s">
        <v>75</v>
      </c>
      <c r="G265" s="12"/>
      <c r="H265" s="12"/>
      <c r="I265" s="11" t="s">
        <v>1084</v>
      </c>
      <c r="J265" s="10">
        <v>0</v>
      </c>
      <c r="K265" s="10">
        <v>0</v>
      </c>
      <c r="L265" s="11" t="s">
        <v>19</v>
      </c>
    </row>
    <row r="266" spans="1:12" ht="20" customHeight="1" x14ac:dyDescent="0.15">
      <c r="A266" s="8" t="s">
        <v>1085</v>
      </c>
      <c r="B266" s="9" t="s">
        <v>1086</v>
      </c>
      <c r="C266" s="10">
        <v>2026</v>
      </c>
      <c r="D266" s="11" t="s">
        <v>15</v>
      </c>
      <c r="E266" s="11" t="s">
        <v>1053</v>
      </c>
      <c r="F266" s="11" t="s">
        <v>17</v>
      </c>
      <c r="G266" s="12"/>
      <c r="H266" s="12"/>
      <c r="I266" s="11" t="s">
        <v>1087</v>
      </c>
      <c r="J266" s="10">
        <v>0</v>
      </c>
      <c r="K266" s="10">
        <v>0</v>
      </c>
      <c r="L266" s="11" t="s">
        <v>19</v>
      </c>
    </row>
    <row r="267" spans="1:12" ht="20" customHeight="1" x14ac:dyDescent="0.15">
      <c r="A267" s="8" t="s">
        <v>1088</v>
      </c>
      <c r="B267" s="9" t="s">
        <v>1089</v>
      </c>
      <c r="C267" s="10">
        <v>2026</v>
      </c>
      <c r="D267" s="11" t="s">
        <v>15</v>
      </c>
      <c r="E267" s="11" t="s">
        <v>1053</v>
      </c>
      <c r="F267" s="11" t="s">
        <v>17</v>
      </c>
      <c r="G267" s="12"/>
      <c r="H267" s="12"/>
      <c r="I267" s="11" t="s">
        <v>1090</v>
      </c>
      <c r="J267" s="10">
        <v>0</v>
      </c>
      <c r="K267" s="10">
        <v>0</v>
      </c>
      <c r="L267" s="11" t="s">
        <v>19</v>
      </c>
    </row>
    <row r="268" spans="1:12" ht="20" customHeight="1" x14ac:dyDescent="0.15">
      <c r="A268" s="8" t="s">
        <v>1091</v>
      </c>
      <c r="B268" s="9" t="s">
        <v>1092</v>
      </c>
      <c r="C268" s="10">
        <v>2026</v>
      </c>
      <c r="D268" s="11" t="s">
        <v>15</v>
      </c>
      <c r="E268" s="11" t="s">
        <v>1053</v>
      </c>
      <c r="F268" s="11" t="s">
        <v>75</v>
      </c>
      <c r="G268" s="12"/>
      <c r="H268" s="12"/>
      <c r="I268" s="11" t="s">
        <v>1093</v>
      </c>
      <c r="J268" s="10">
        <v>0</v>
      </c>
      <c r="K268" s="10">
        <v>0</v>
      </c>
      <c r="L268" s="11" t="s">
        <v>19</v>
      </c>
    </row>
    <row r="269" spans="1:12" ht="20" customHeight="1" x14ac:dyDescent="0.15">
      <c r="A269" s="8" t="s">
        <v>1094</v>
      </c>
      <c r="B269" s="9" t="s">
        <v>1095</v>
      </c>
      <c r="C269" s="10">
        <v>2026</v>
      </c>
      <c r="D269" s="11" t="s">
        <v>15</v>
      </c>
      <c r="E269" s="11" t="s">
        <v>1053</v>
      </c>
      <c r="F269" s="11" t="s">
        <v>32</v>
      </c>
      <c r="G269" s="12"/>
      <c r="H269" s="12"/>
      <c r="I269" s="11" t="s">
        <v>1096</v>
      </c>
      <c r="J269" s="10">
        <v>0</v>
      </c>
      <c r="K269" s="10">
        <v>0</v>
      </c>
      <c r="L269" s="11" t="s">
        <v>19</v>
      </c>
    </row>
    <row r="270" spans="1:12" ht="20" customHeight="1" x14ac:dyDescent="0.15">
      <c r="A270" s="8" t="s">
        <v>1097</v>
      </c>
      <c r="B270" s="9" t="s">
        <v>1098</v>
      </c>
      <c r="C270" s="10">
        <v>2026</v>
      </c>
      <c r="D270" s="11" t="s">
        <v>15</v>
      </c>
      <c r="E270" s="11" t="s">
        <v>1053</v>
      </c>
      <c r="F270" s="11" t="s">
        <v>32</v>
      </c>
      <c r="G270" s="12"/>
      <c r="H270" s="12"/>
      <c r="I270" s="11" t="s">
        <v>1099</v>
      </c>
      <c r="J270" s="10">
        <v>0</v>
      </c>
      <c r="K270" s="10">
        <v>0</v>
      </c>
      <c r="L270" s="11" t="s">
        <v>19</v>
      </c>
    </row>
    <row r="271" spans="1:12" ht="20" customHeight="1" x14ac:dyDescent="0.15">
      <c r="A271" s="8" t="s">
        <v>1100</v>
      </c>
      <c r="B271" s="9" t="s">
        <v>1101</v>
      </c>
      <c r="C271" s="10">
        <v>2025</v>
      </c>
      <c r="D271" s="11" t="s">
        <v>15</v>
      </c>
      <c r="E271" s="11" t="s">
        <v>1053</v>
      </c>
      <c r="F271" s="11" t="s">
        <v>17</v>
      </c>
      <c r="G271" s="12"/>
      <c r="H271" s="12"/>
      <c r="I271" s="11" t="s">
        <v>1102</v>
      </c>
      <c r="J271" s="10">
        <v>0</v>
      </c>
      <c r="K271" s="10">
        <v>0</v>
      </c>
      <c r="L271" s="11" t="s">
        <v>19</v>
      </c>
    </row>
    <row r="272" spans="1:12" ht="20" customHeight="1" x14ac:dyDescent="0.15">
      <c r="A272" s="8" t="s">
        <v>1103</v>
      </c>
      <c r="B272" s="9" t="s">
        <v>1104</v>
      </c>
      <c r="C272" s="10">
        <v>2025</v>
      </c>
      <c r="D272" s="11" t="s">
        <v>770</v>
      </c>
      <c r="E272" s="11" t="s">
        <v>1053</v>
      </c>
      <c r="F272" s="11" t="s">
        <v>75</v>
      </c>
      <c r="G272" s="11" t="s">
        <v>76</v>
      </c>
      <c r="H272" s="11" t="s">
        <v>1105</v>
      </c>
      <c r="I272" s="11" t="s">
        <v>1106</v>
      </c>
      <c r="J272" s="10">
        <v>0</v>
      </c>
      <c r="K272" s="10">
        <v>0</v>
      </c>
      <c r="L272" s="11" t="s">
        <v>29</v>
      </c>
    </row>
    <row r="273" spans="1:12" ht="20" customHeight="1" x14ac:dyDescent="0.15">
      <c r="A273" s="8" t="s">
        <v>1107</v>
      </c>
      <c r="B273" s="9" t="s">
        <v>1108</v>
      </c>
      <c r="C273" s="10">
        <v>2025</v>
      </c>
      <c r="D273" s="11" t="s">
        <v>15</v>
      </c>
      <c r="E273" s="11" t="s">
        <v>1053</v>
      </c>
      <c r="F273" s="11" t="s">
        <v>75</v>
      </c>
      <c r="G273" s="12"/>
      <c r="H273" s="12"/>
      <c r="I273" s="11" t="s">
        <v>1109</v>
      </c>
      <c r="J273" s="10">
        <v>0</v>
      </c>
      <c r="K273" s="10">
        <v>0</v>
      </c>
      <c r="L273" s="11" t="s">
        <v>19</v>
      </c>
    </row>
    <row r="274" spans="1:12" ht="20" customHeight="1" x14ac:dyDescent="0.15">
      <c r="A274" s="8" t="s">
        <v>1110</v>
      </c>
      <c r="B274" s="9" t="s">
        <v>1111</v>
      </c>
      <c r="C274" s="10">
        <v>2025</v>
      </c>
      <c r="D274" s="11" t="s">
        <v>1112</v>
      </c>
      <c r="E274" s="11" t="s">
        <v>1053</v>
      </c>
      <c r="F274" s="11" t="s">
        <v>17</v>
      </c>
      <c r="G274" s="11" t="s">
        <v>188</v>
      </c>
      <c r="H274" s="11" t="s">
        <v>1113</v>
      </c>
      <c r="I274" s="11" t="s">
        <v>1114</v>
      </c>
      <c r="J274" s="10">
        <v>0</v>
      </c>
      <c r="K274" s="10">
        <v>0</v>
      </c>
      <c r="L274" s="11" t="s">
        <v>29</v>
      </c>
    </row>
    <row r="275" spans="1:12" ht="20" customHeight="1" x14ac:dyDescent="0.15">
      <c r="A275" s="8" t="s">
        <v>1115</v>
      </c>
      <c r="B275" s="9" t="s">
        <v>1116</v>
      </c>
      <c r="C275" s="10">
        <v>2025</v>
      </c>
      <c r="D275" s="11" t="s">
        <v>25</v>
      </c>
      <c r="E275" s="11" t="s">
        <v>1053</v>
      </c>
      <c r="F275" s="11" t="s">
        <v>75</v>
      </c>
      <c r="G275" s="11" t="s">
        <v>1117</v>
      </c>
      <c r="H275" s="11" t="s">
        <v>1118</v>
      </c>
      <c r="I275" s="11" t="s">
        <v>1119</v>
      </c>
      <c r="J275" s="10">
        <v>1</v>
      </c>
      <c r="K275" s="10">
        <v>0</v>
      </c>
      <c r="L275" s="11" t="s">
        <v>29</v>
      </c>
    </row>
    <row r="276" spans="1:12" ht="20" customHeight="1" x14ac:dyDescent="0.15">
      <c r="A276" s="8" t="s">
        <v>1120</v>
      </c>
      <c r="B276" s="9" t="s">
        <v>1121</v>
      </c>
      <c r="C276" s="10">
        <v>2025</v>
      </c>
      <c r="D276" s="11" t="s">
        <v>1122</v>
      </c>
      <c r="E276" s="11" t="s">
        <v>1053</v>
      </c>
      <c r="F276" s="11" t="s">
        <v>75</v>
      </c>
      <c r="G276" s="11" t="s">
        <v>878</v>
      </c>
      <c r="H276" s="11" t="s">
        <v>1123</v>
      </c>
      <c r="I276" s="11" t="s">
        <v>1124</v>
      </c>
      <c r="J276" s="10">
        <v>1</v>
      </c>
      <c r="K276" s="10">
        <v>0</v>
      </c>
      <c r="L276" s="11" t="s">
        <v>29</v>
      </c>
    </row>
    <row r="277" spans="1:12" ht="20" customHeight="1" x14ac:dyDescent="0.15">
      <c r="A277" s="8" t="s">
        <v>1125</v>
      </c>
      <c r="B277" s="9" t="s">
        <v>1126</v>
      </c>
      <c r="C277" s="10">
        <v>2025</v>
      </c>
      <c r="D277" s="11" t="s">
        <v>15</v>
      </c>
      <c r="E277" s="11" t="s">
        <v>1053</v>
      </c>
      <c r="F277" s="11" t="s">
        <v>75</v>
      </c>
      <c r="G277" s="12"/>
      <c r="H277" s="12"/>
      <c r="I277" s="11" t="s">
        <v>1127</v>
      </c>
      <c r="J277" s="10">
        <v>0</v>
      </c>
      <c r="K277" s="10">
        <v>0</v>
      </c>
      <c r="L277" s="11" t="s">
        <v>19</v>
      </c>
    </row>
    <row r="278" spans="1:12" ht="20" customHeight="1" x14ac:dyDescent="0.15">
      <c r="A278" s="8" t="s">
        <v>1128</v>
      </c>
      <c r="B278" s="9" t="s">
        <v>830</v>
      </c>
      <c r="C278" s="10">
        <v>2025</v>
      </c>
      <c r="D278" s="11" t="s">
        <v>831</v>
      </c>
      <c r="E278" s="11" t="s">
        <v>1053</v>
      </c>
      <c r="F278" s="11" t="s">
        <v>17</v>
      </c>
      <c r="G278" s="11" t="s">
        <v>726</v>
      </c>
      <c r="H278" s="11" t="s">
        <v>1129</v>
      </c>
      <c r="I278" s="11" t="s">
        <v>1130</v>
      </c>
      <c r="J278" s="10">
        <v>1</v>
      </c>
      <c r="K278" s="10">
        <v>0</v>
      </c>
      <c r="L278" s="11" t="s">
        <v>29</v>
      </c>
    </row>
    <row r="279" spans="1:12" ht="20" customHeight="1" x14ac:dyDescent="0.15">
      <c r="A279" s="8" t="s">
        <v>1131</v>
      </c>
      <c r="B279" s="9" t="s">
        <v>1132</v>
      </c>
      <c r="C279" s="10">
        <v>2025</v>
      </c>
      <c r="D279" s="11" t="s">
        <v>15</v>
      </c>
      <c r="E279" s="11" t="s">
        <v>1053</v>
      </c>
      <c r="F279" s="11" t="s">
        <v>75</v>
      </c>
      <c r="G279" s="12"/>
      <c r="H279" s="12"/>
      <c r="I279" s="11" t="s">
        <v>1133</v>
      </c>
      <c r="J279" s="10">
        <v>0</v>
      </c>
      <c r="K279" s="10">
        <v>0</v>
      </c>
      <c r="L279" s="11" t="s">
        <v>19</v>
      </c>
    </row>
    <row r="280" spans="1:12" ht="20" customHeight="1" x14ac:dyDescent="0.15">
      <c r="A280" s="8" t="s">
        <v>1134</v>
      </c>
      <c r="B280" s="9" t="s">
        <v>1135</v>
      </c>
      <c r="C280" s="10">
        <v>2025</v>
      </c>
      <c r="D280" s="11" t="s">
        <v>15</v>
      </c>
      <c r="E280" s="11" t="s">
        <v>1053</v>
      </c>
      <c r="F280" s="11" t="s">
        <v>17</v>
      </c>
      <c r="G280" s="12"/>
      <c r="H280" s="11" t="s">
        <v>1136</v>
      </c>
      <c r="I280" s="11" t="s">
        <v>1137</v>
      </c>
      <c r="J280" s="10">
        <v>0</v>
      </c>
      <c r="K280" s="10">
        <v>0</v>
      </c>
      <c r="L280" s="11" t="s">
        <v>19</v>
      </c>
    </row>
    <row r="281" spans="1:12" ht="20" customHeight="1" x14ac:dyDescent="0.15">
      <c r="A281" s="8" t="s">
        <v>1138</v>
      </c>
      <c r="B281" s="9" t="s">
        <v>1139</v>
      </c>
      <c r="C281" s="10">
        <v>2025</v>
      </c>
      <c r="D281" s="11" t="s">
        <v>1140</v>
      </c>
      <c r="E281" s="11" t="s">
        <v>1053</v>
      </c>
      <c r="F281" s="11" t="s">
        <v>75</v>
      </c>
      <c r="G281" s="11" t="s">
        <v>170</v>
      </c>
      <c r="H281" s="11" t="s">
        <v>1141</v>
      </c>
      <c r="I281" s="11" t="s">
        <v>1142</v>
      </c>
      <c r="J281" s="10">
        <v>0</v>
      </c>
      <c r="K281" s="10">
        <v>0</v>
      </c>
      <c r="L281" s="11" t="s">
        <v>29</v>
      </c>
    </row>
    <row r="282" spans="1:12" ht="20" customHeight="1" x14ac:dyDescent="0.15">
      <c r="A282" s="8" t="s">
        <v>1143</v>
      </c>
      <c r="B282" s="9" t="s">
        <v>1144</v>
      </c>
      <c r="C282" s="10">
        <v>2025</v>
      </c>
      <c r="D282" s="11" t="s">
        <v>15</v>
      </c>
      <c r="E282" s="11" t="s">
        <v>1053</v>
      </c>
      <c r="F282" s="11" t="s">
        <v>75</v>
      </c>
      <c r="G282" s="12"/>
      <c r="H282" s="12"/>
      <c r="I282" s="11" t="s">
        <v>1145</v>
      </c>
      <c r="J282" s="10">
        <v>0</v>
      </c>
      <c r="K282" s="10">
        <v>0</v>
      </c>
      <c r="L282" s="11" t="s">
        <v>19</v>
      </c>
    </row>
    <row r="283" spans="1:12" ht="20" customHeight="1" x14ac:dyDescent="0.15">
      <c r="A283" s="8" t="s">
        <v>1146</v>
      </c>
      <c r="B283" s="9" t="s">
        <v>1147</v>
      </c>
      <c r="C283" s="10">
        <v>2025</v>
      </c>
      <c r="D283" s="11" t="s">
        <v>15</v>
      </c>
      <c r="E283" s="11" t="s">
        <v>1053</v>
      </c>
      <c r="F283" s="11" t="s">
        <v>75</v>
      </c>
      <c r="G283" s="12"/>
      <c r="H283" s="12"/>
      <c r="I283" s="11" t="s">
        <v>1148</v>
      </c>
      <c r="J283" s="10">
        <v>0</v>
      </c>
      <c r="K283" s="10">
        <v>0</v>
      </c>
      <c r="L283" s="11" t="s">
        <v>19</v>
      </c>
    </row>
    <row r="284" spans="1:12" ht="20" customHeight="1" x14ac:dyDescent="0.15">
      <c r="A284" s="8" t="s">
        <v>1149</v>
      </c>
      <c r="B284" s="9" t="s">
        <v>1150</v>
      </c>
      <c r="C284" s="10">
        <v>2025</v>
      </c>
      <c r="D284" s="11" t="s">
        <v>15</v>
      </c>
      <c r="E284" s="11" t="s">
        <v>1053</v>
      </c>
      <c r="F284" s="11" t="s">
        <v>75</v>
      </c>
      <c r="G284" s="12"/>
      <c r="H284" s="12"/>
      <c r="I284" s="11" t="s">
        <v>1151</v>
      </c>
      <c r="J284" s="10">
        <v>0</v>
      </c>
      <c r="K284" s="10">
        <v>0</v>
      </c>
      <c r="L284" s="11" t="s">
        <v>19</v>
      </c>
    </row>
    <row r="285" spans="1:12" ht="20" customHeight="1" x14ac:dyDescent="0.15">
      <c r="A285" s="8" t="s">
        <v>1152</v>
      </c>
      <c r="B285" s="9" t="s">
        <v>1153</v>
      </c>
      <c r="C285" s="10">
        <v>2025</v>
      </c>
      <c r="D285" s="11" t="s">
        <v>15</v>
      </c>
      <c r="E285" s="11" t="s">
        <v>1053</v>
      </c>
      <c r="F285" s="11" t="s">
        <v>17</v>
      </c>
      <c r="G285" s="12"/>
      <c r="H285" s="12"/>
      <c r="I285" s="11" t="s">
        <v>1154</v>
      </c>
      <c r="J285" s="10">
        <v>0</v>
      </c>
      <c r="K285" s="10">
        <v>0</v>
      </c>
      <c r="L285" s="11" t="s">
        <v>19</v>
      </c>
    </row>
    <row r="286" spans="1:12" ht="20" customHeight="1" x14ac:dyDescent="0.15">
      <c r="A286" s="8" t="s">
        <v>1155</v>
      </c>
      <c r="B286" s="9" t="s">
        <v>1156</v>
      </c>
      <c r="C286" s="10">
        <v>2025</v>
      </c>
      <c r="D286" s="11" t="s">
        <v>15</v>
      </c>
      <c r="E286" s="11" t="s">
        <v>1053</v>
      </c>
      <c r="F286" s="11" t="s">
        <v>75</v>
      </c>
      <c r="G286" s="12"/>
      <c r="H286" s="12"/>
      <c r="I286" s="11" t="s">
        <v>1157</v>
      </c>
      <c r="J286" s="10">
        <v>0</v>
      </c>
      <c r="K286" s="10">
        <v>0</v>
      </c>
      <c r="L286" s="11" t="s">
        <v>19</v>
      </c>
    </row>
    <row r="287" spans="1:12" ht="20" customHeight="1" x14ac:dyDescent="0.15">
      <c r="A287" s="8" t="s">
        <v>1158</v>
      </c>
      <c r="B287" s="9" t="s">
        <v>1159</v>
      </c>
      <c r="C287" s="10">
        <v>2025</v>
      </c>
      <c r="D287" s="11" t="s">
        <v>420</v>
      </c>
      <c r="E287" s="11" t="s">
        <v>1053</v>
      </c>
      <c r="F287" s="11" t="s">
        <v>75</v>
      </c>
      <c r="G287" s="11" t="s">
        <v>122</v>
      </c>
      <c r="H287" s="11" t="s">
        <v>1160</v>
      </c>
      <c r="I287" s="11" t="s">
        <v>1161</v>
      </c>
      <c r="J287" s="10">
        <v>0</v>
      </c>
      <c r="K287" s="10">
        <v>0</v>
      </c>
      <c r="L287" s="11" t="s">
        <v>29</v>
      </c>
    </row>
    <row r="288" spans="1:12" ht="20" customHeight="1" x14ac:dyDescent="0.15">
      <c r="A288" s="8" t="s">
        <v>1162</v>
      </c>
      <c r="B288" s="9" t="s">
        <v>1163</v>
      </c>
      <c r="C288" s="10">
        <v>2025</v>
      </c>
      <c r="D288" s="11" t="s">
        <v>15</v>
      </c>
      <c r="E288" s="11" t="s">
        <v>1053</v>
      </c>
      <c r="F288" s="11" t="s">
        <v>75</v>
      </c>
      <c r="G288" s="12"/>
      <c r="H288" s="12"/>
      <c r="I288" s="11" t="s">
        <v>1164</v>
      </c>
      <c r="J288" s="10">
        <v>0</v>
      </c>
      <c r="K288" s="10">
        <v>0</v>
      </c>
      <c r="L288" s="11" t="s">
        <v>19</v>
      </c>
    </row>
    <row r="289" spans="1:12" ht="20" customHeight="1" x14ac:dyDescent="0.15">
      <c r="A289" s="8" t="s">
        <v>1165</v>
      </c>
      <c r="B289" s="9" t="s">
        <v>1166</v>
      </c>
      <c r="C289" s="10">
        <v>2025</v>
      </c>
      <c r="D289" s="11" t="s">
        <v>1167</v>
      </c>
      <c r="E289" s="11" t="s">
        <v>1053</v>
      </c>
      <c r="F289" s="11" t="s">
        <v>17</v>
      </c>
      <c r="G289" s="11" t="s">
        <v>389</v>
      </c>
      <c r="H289" s="11" t="s">
        <v>1168</v>
      </c>
      <c r="I289" s="11" t="s">
        <v>1169</v>
      </c>
      <c r="J289" s="10">
        <v>0</v>
      </c>
      <c r="K289" s="10">
        <v>0</v>
      </c>
      <c r="L289" s="11" t="s">
        <v>29</v>
      </c>
    </row>
    <row r="290" spans="1:12" ht="20" customHeight="1" x14ac:dyDescent="0.15">
      <c r="A290" s="8" t="s">
        <v>1170</v>
      </c>
      <c r="B290" s="9" t="s">
        <v>1171</v>
      </c>
      <c r="C290" s="10">
        <v>2025</v>
      </c>
      <c r="D290" s="11" t="s">
        <v>1172</v>
      </c>
      <c r="E290" s="11" t="s">
        <v>1053</v>
      </c>
      <c r="F290" s="11" t="s">
        <v>17</v>
      </c>
      <c r="G290" s="11" t="s">
        <v>1173</v>
      </c>
      <c r="H290" s="11" t="s">
        <v>1174</v>
      </c>
      <c r="I290" s="11" t="s">
        <v>1175</v>
      </c>
      <c r="J290" s="10">
        <v>0</v>
      </c>
      <c r="K290" s="10">
        <v>0</v>
      </c>
      <c r="L290" s="11" t="s">
        <v>29</v>
      </c>
    </row>
    <row r="291" spans="1:12" ht="20" customHeight="1" x14ac:dyDescent="0.15">
      <c r="A291" s="8" t="s">
        <v>1176</v>
      </c>
      <c r="B291" s="9" t="s">
        <v>1177</v>
      </c>
      <c r="C291" s="10">
        <v>2025</v>
      </c>
      <c r="D291" s="11" t="s">
        <v>1178</v>
      </c>
      <c r="E291" s="11" t="s">
        <v>1053</v>
      </c>
      <c r="F291" s="11" t="s">
        <v>32</v>
      </c>
      <c r="G291" s="11" t="s">
        <v>1179</v>
      </c>
      <c r="H291" s="11" t="s">
        <v>1180</v>
      </c>
      <c r="I291" s="11" t="s">
        <v>1181</v>
      </c>
      <c r="J291" s="10">
        <v>1</v>
      </c>
      <c r="K291" s="10">
        <v>0</v>
      </c>
      <c r="L291" s="11" t="s">
        <v>29</v>
      </c>
    </row>
    <row r="292" spans="1:12" ht="20" customHeight="1" x14ac:dyDescent="0.15">
      <c r="A292" s="8" t="s">
        <v>1182</v>
      </c>
      <c r="B292" s="9" t="s">
        <v>1183</v>
      </c>
      <c r="C292" s="10">
        <v>2025</v>
      </c>
      <c r="D292" s="11" t="s">
        <v>15</v>
      </c>
      <c r="E292" s="11" t="s">
        <v>1053</v>
      </c>
      <c r="F292" s="11" t="s">
        <v>32</v>
      </c>
      <c r="G292" s="12"/>
      <c r="H292" s="12"/>
      <c r="I292" s="11" t="s">
        <v>1184</v>
      </c>
      <c r="J292" s="10">
        <v>0</v>
      </c>
      <c r="K292" s="10">
        <v>0</v>
      </c>
      <c r="L292" s="11" t="s">
        <v>19</v>
      </c>
    </row>
    <row r="293" spans="1:12" ht="20" customHeight="1" x14ac:dyDescent="0.15">
      <c r="A293" s="8" t="s">
        <v>1185</v>
      </c>
      <c r="B293" s="9" t="s">
        <v>1186</v>
      </c>
      <c r="C293" s="10">
        <v>2025</v>
      </c>
      <c r="D293" s="11" t="s">
        <v>1187</v>
      </c>
      <c r="E293" s="11" t="s">
        <v>1053</v>
      </c>
      <c r="F293" s="11" t="s">
        <v>32</v>
      </c>
      <c r="G293" s="11" t="s">
        <v>26</v>
      </c>
      <c r="H293" s="11" t="s">
        <v>1188</v>
      </c>
      <c r="I293" s="11" t="s">
        <v>1189</v>
      </c>
      <c r="J293" s="10">
        <v>1</v>
      </c>
      <c r="K293" s="10">
        <v>0</v>
      </c>
      <c r="L293" s="11" t="s">
        <v>29</v>
      </c>
    </row>
    <row r="294" spans="1:12" ht="20" customHeight="1" x14ac:dyDescent="0.15">
      <c r="A294" s="8" t="s">
        <v>1190</v>
      </c>
      <c r="B294" s="9" t="s">
        <v>1191</v>
      </c>
      <c r="C294" s="10">
        <v>2025</v>
      </c>
      <c r="D294" s="11" t="s">
        <v>1192</v>
      </c>
      <c r="E294" s="11" t="s">
        <v>1053</v>
      </c>
      <c r="F294" s="11" t="s">
        <v>32</v>
      </c>
      <c r="G294" s="11" t="s">
        <v>1193</v>
      </c>
      <c r="H294" s="11" t="s">
        <v>1194</v>
      </c>
      <c r="I294" s="11" t="s">
        <v>1195</v>
      </c>
      <c r="J294" s="10">
        <v>1</v>
      </c>
      <c r="K294" s="10">
        <v>0</v>
      </c>
      <c r="L294" s="11" t="s">
        <v>29</v>
      </c>
    </row>
    <row r="295" spans="1:12" ht="20" customHeight="1" x14ac:dyDescent="0.15">
      <c r="A295" s="8" t="s">
        <v>1196</v>
      </c>
      <c r="B295" s="9" t="s">
        <v>1197</v>
      </c>
      <c r="C295" s="10">
        <v>2025</v>
      </c>
      <c r="D295" s="11" t="s">
        <v>1198</v>
      </c>
      <c r="E295" s="11" t="s">
        <v>1053</v>
      </c>
      <c r="F295" s="11" t="s">
        <v>32</v>
      </c>
      <c r="G295" s="11" t="s">
        <v>1199</v>
      </c>
      <c r="H295" s="11" t="s">
        <v>1200</v>
      </c>
      <c r="I295" s="11" t="s">
        <v>1201</v>
      </c>
      <c r="J295" s="10">
        <v>1</v>
      </c>
      <c r="K295" s="10">
        <v>0</v>
      </c>
      <c r="L295" s="11" t="s">
        <v>29</v>
      </c>
    </row>
    <row r="296" spans="1:12" ht="20" customHeight="1" x14ac:dyDescent="0.15">
      <c r="A296" s="8" t="s">
        <v>1202</v>
      </c>
      <c r="B296" s="9" t="s">
        <v>1203</v>
      </c>
      <c r="C296" s="10">
        <v>2024</v>
      </c>
      <c r="D296" s="11" t="s">
        <v>193</v>
      </c>
      <c r="E296" s="11" t="s">
        <v>1053</v>
      </c>
      <c r="F296" s="11" t="s">
        <v>17</v>
      </c>
      <c r="G296" s="11" t="s">
        <v>884</v>
      </c>
      <c r="H296" s="11" t="s">
        <v>1204</v>
      </c>
      <c r="I296" s="11" t="s">
        <v>1205</v>
      </c>
      <c r="J296" s="10">
        <v>0</v>
      </c>
      <c r="K296" s="10">
        <v>0</v>
      </c>
      <c r="L296" s="11" t="s">
        <v>29</v>
      </c>
    </row>
    <row r="297" spans="1:12" ht="20" customHeight="1" x14ac:dyDescent="0.15">
      <c r="A297" s="8" t="s">
        <v>1206</v>
      </c>
      <c r="B297" s="9" t="s">
        <v>1207</v>
      </c>
      <c r="C297" s="10">
        <v>2024</v>
      </c>
      <c r="D297" s="11" t="s">
        <v>25</v>
      </c>
      <c r="E297" s="11" t="s">
        <v>1053</v>
      </c>
      <c r="F297" s="11" t="s">
        <v>17</v>
      </c>
      <c r="G297" s="11" t="s">
        <v>1208</v>
      </c>
      <c r="H297" s="11" t="s">
        <v>1209</v>
      </c>
      <c r="I297" s="11" t="s">
        <v>1210</v>
      </c>
      <c r="J297" s="10">
        <v>0</v>
      </c>
      <c r="K297" s="10">
        <v>0</v>
      </c>
      <c r="L297" s="11" t="s">
        <v>29</v>
      </c>
    </row>
    <row r="298" spans="1:12" ht="20" customHeight="1" x14ac:dyDescent="0.15">
      <c r="A298" s="8" t="s">
        <v>1211</v>
      </c>
      <c r="B298" s="9" t="s">
        <v>1212</v>
      </c>
      <c r="C298" s="10">
        <v>2024</v>
      </c>
      <c r="D298" s="11" t="s">
        <v>15</v>
      </c>
      <c r="E298" s="11" t="s">
        <v>1053</v>
      </c>
      <c r="F298" s="11" t="s">
        <v>17</v>
      </c>
      <c r="G298" s="12"/>
      <c r="H298" s="12"/>
      <c r="I298" s="11" t="s">
        <v>1213</v>
      </c>
      <c r="J298" s="10">
        <v>0</v>
      </c>
      <c r="K298" s="10">
        <v>0</v>
      </c>
      <c r="L298" s="11" t="s">
        <v>19</v>
      </c>
    </row>
    <row r="299" spans="1:12" ht="20" customHeight="1" x14ac:dyDescent="0.15">
      <c r="A299" s="8" t="s">
        <v>1214</v>
      </c>
      <c r="B299" s="9" t="s">
        <v>1104</v>
      </c>
      <c r="C299" s="10">
        <v>2024</v>
      </c>
      <c r="D299" s="11" t="s">
        <v>15</v>
      </c>
      <c r="E299" s="11" t="s">
        <v>1053</v>
      </c>
      <c r="F299" s="11" t="s">
        <v>75</v>
      </c>
      <c r="G299" s="12"/>
      <c r="H299" s="11" t="s">
        <v>1105</v>
      </c>
      <c r="I299" s="11" t="s">
        <v>1215</v>
      </c>
      <c r="J299" s="10">
        <v>0</v>
      </c>
      <c r="K299" s="10">
        <v>0</v>
      </c>
      <c r="L299" s="11" t="s">
        <v>19</v>
      </c>
    </row>
    <row r="300" spans="1:12" ht="20" customHeight="1" x14ac:dyDescent="0.15">
      <c r="A300" s="8" t="s">
        <v>1216</v>
      </c>
      <c r="B300" s="9" t="s">
        <v>1217</v>
      </c>
      <c r="C300" s="10">
        <v>2024</v>
      </c>
      <c r="D300" s="11" t="s">
        <v>15</v>
      </c>
      <c r="E300" s="11" t="s">
        <v>1053</v>
      </c>
      <c r="F300" s="11" t="s">
        <v>75</v>
      </c>
      <c r="G300" s="12"/>
      <c r="H300" s="12"/>
      <c r="I300" s="11" t="s">
        <v>1218</v>
      </c>
      <c r="J300" s="10">
        <v>0</v>
      </c>
      <c r="K300" s="10">
        <v>0</v>
      </c>
      <c r="L300" s="11" t="s">
        <v>19</v>
      </c>
    </row>
    <row r="301" spans="1:12" ht="20" customHeight="1" x14ac:dyDescent="0.15">
      <c r="A301" s="8" t="s">
        <v>1219</v>
      </c>
      <c r="B301" s="9" t="s">
        <v>1220</v>
      </c>
      <c r="C301" s="10">
        <v>2024</v>
      </c>
      <c r="D301" s="11" t="s">
        <v>15</v>
      </c>
      <c r="E301" s="11" t="s">
        <v>1053</v>
      </c>
      <c r="F301" s="11" t="s">
        <v>32</v>
      </c>
      <c r="G301" s="12"/>
      <c r="H301" s="12"/>
      <c r="I301" s="11" t="s">
        <v>1221</v>
      </c>
      <c r="J301" s="10">
        <v>0</v>
      </c>
      <c r="K301" s="10">
        <v>0</v>
      </c>
      <c r="L301" s="11" t="s">
        <v>19</v>
      </c>
    </row>
    <row r="302" spans="1:12" ht="20" customHeight="1" x14ac:dyDescent="0.15">
      <c r="A302" s="8" t="s">
        <v>1222</v>
      </c>
      <c r="B302" s="9" t="s">
        <v>1223</v>
      </c>
      <c r="C302" s="10">
        <v>2024</v>
      </c>
      <c r="D302" s="11" t="s">
        <v>25</v>
      </c>
      <c r="E302" s="11" t="s">
        <v>1053</v>
      </c>
      <c r="F302" s="11" t="s">
        <v>32</v>
      </c>
      <c r="G302" s="11" t="s">
        <v>1224</v>
      </c>
      <c r="H302" s="11" t="s">
        <v>1225</v>
      </c>
      <c r="I302" s="11" t="s">
        <v>1226</v>
      </c>
      <c r="J302" s="10">
        <v>1</v>
      </c>
      <c r="K302" s="10">
        <v>0</v>
      </c>
      <c r="L302" s="11" t="s">
        <v>29</v>
      </c>
    </row>
    <row r="303" spans="1:12" ht="20" customHeight="1" x14ac:dyDescent="0.15">
      <c r="A303" s="8" t="s">
        <v>1227</v>
      </c>
      <c r="B303" s="9" t="s">
        <v>1228</v>
      </c>
      <c r="C303" s="10">
        <v>2023</v>
      </c>
      <c r="D303" s="11" t="s">
        <v>126</v>
      </c>
      <c r="E303" s="11" t="s">
        <v>1053</v>
      </c>
      <c r="F303" s="11" t="s">
        <v>75</v>
      </c>
      <c r="G303" s="11" t="s">
        <v>81</v>
      </c>
      <c r="H303" s="11" t="s">
        <v>1229</v>
      </c>
      <c r="I303" s="11" t="s">
        <v>1230</v>
      </c>
      <c r="J303" s="10">
        <v>0</v>
      </c>
      <c r="K303" s="10">
        <v>0</v>
      </c>
      <c r="L303" s="11" t="s">
        <v>29</v>
      </c>
    </row>
    <row r="304" spans="1:12" ht="20" customHeight="1" x14ac:dyDescent="0.15">
      <c r="A304" s="8" t="s">
        <v>1231</v>
      </c>
      <c r="B304" s="9" t="s">
        <v>1232</v>
      </c>
      <c r="C304" s="10">
        <v>2023</v>
      </c>
      <c r="D304" s="11" t="s">
        <v>1233</v>
      </c>
      <c r="E304" s="11" t="s">
        <v>1053</v>
      </c>
      <c r="F304" s="11" t="s">
        <v>32</v>
      </c>
      <c r="G304" s="11" t="s">
        <v>70</v>
      </c>
      <c r="H304" s="11" t="s">
        <v>1234</v>
      </c>
      <c r="I304" s="11" t="s">
        <v>1235</v>
      </c>
      <c r="J304" s="10">
        <v>0</v>
      </c>
      <c r="K304" s="10">
        <v>0</v>
      </c>
      <c r="L304" s="11" t="s">
        <v>29</v>
      </c>
    </row>
    <row r="305" spans="1:12" ht="20" customHeight="1" x14ac:dyDescent="0.15">
      <c r="A305" s="8" t="s">
        <v>1236</v>
      </c>
      <c r="B305" s="9" t="s">
        <v>1237</v>
      </c>
      <c r="C305" s="10">
        <v>2022</v>
      </c>
      <c r="D305" s="11" t="s">
        <v>1238</v>
      </c>
      <c r="E305" s="11" t="s">
        <v>1053</v>
      </c>
      <c r="F305" s="11" t="s">
        <v>32</v>
      </c>
      <c r="G305" s="11" t="s">
        <v>1239</v>
      </c>
      <c r="H305" s="11" t="s">
        <v>1240</v>
      </c>
      <c r="I305" s="11" t="s">
        <v>1241</v>
      </c>
      <c r="J305" s="10">
        <v>0</v>
      </c>
      <c r="K305" s="10">
        <v>0</v>
      </c>
      <c r="L305" s="11" t="s">
        <v>29</v>
      </c>
    </row>
    <row r="306" spans="1:12" ht="20" customHeight="1" x14ac:dyDescent="0.15">
      <c r="A306" s="8" t="s">
        <v>1242</v>
      </c>
      <c r="B306" s="9" t="s">
        <v>1243</v>
      </c>
      <c r="C306" s="10">
        <v>2021</v>
      </c>
      <c r="D306" s="11" t="s">
        <v>25</v>
      </c>
      <c r="E306" s="11" t="s">
        <v>1053</v>
      </c>
      <c r="F306" s="11" t="s">
        <v>75</v>
      </c>
      <c r="G306" s="11" t="s">
        <v>1244</v>
      </c>
      <c r="H306" s="11" t="s">
        <v>1245</v>
      </c>
      <c r="I306" s="11" t="s">
        <v>1246</v>
      </c>
      <c r="J306" s="10">
        <v>0</v>
      </c>
      <c r="K306" s="10">
        <v>0</v>
      </c>
      <c r="L306" s="11" t="s">
        <v>29</v>
      </c>
    </row>
    <row r="307" spans="1:12" ht="20" customHeight="1" x14ac:dyDescent="0.15">
      <c r="A307" s="8" t="s">
        <v>1247</v>
      </c>
      <c r="B307" s="9" t="s">
        <v>1248</v>
      </c>
      <c r="C307" s="10">
        <v>2019</v>
      </c>
      <c r="D307" s="11" t="s">
        <v>268</v>
      </c>
      <c r="E307" s="11" t="s">
        <v>1053</v>
      </c>
      <c r="F307" s="11" t="s">
        <v>75</v>
      </c>
      <c r="G307" s="11" t="s">
        <v>1249</v>
      </c>
      <c r="H307" s="11" t="s">
        <v>1250</v>
      </c>
      <c r="I307" s="11" t="s">
        <v>1251</v>
      </c>
      <c r="J307" s="10">
        <v>0</v>
      </c>
      <c r="K307" s="10">
        <v>0</v>
      </c>
      <c r="L307" s="11" t="s">
        <v>29</v>
      </c>
    </row>
    <row r="308" spans="1:12" ht="20" customHeight="1" x14ac:dyDescent="0.15">
      <c r="A308" s="8" t="s">
        <v>1252</v>
      </c>
      <c r="B308" s="9" t="s">
        <v>1253</v>
      </c>
      <c r="C308" s="10">
        <v>2018</v>
      </c>
      <c r="D308" s="11" t="s">
        <v>15</v>
      </c>
      <c r="E308" s="11" t="s">
        <v>1053</v>
      </c>
      <c r="F308" s="11" t="s">
        <v>75</v>
      </c>
      <c r="G308" s="12"/>
      <c r="H308" s="12"/>
      <c r="I308" s="11" t="s">
        <v>1254</v>
      </c>
      <c r="J308" s="10">
        <v>0</v>
      </c>
      <c r="K308" s="10">
        <v>0</v>
      </c>
      <c r="L308" s="11" t="s">
        <v>19</v>
      </c>
    </row>
    <row r="309" spans="1:12" ht="20" customHeight="1" x14ac:dyDescent="0.15">
      <c r="A309" s="8" t="s">
        <v>1255</v>
      </c>
      <c r="B309" s="9" t="s">
        <v>1256</v>
      </c>
      <c r="C309" s="10">
        <v>2015</v>
      </c>
      <c r="D309" s="11" t="s">
        <v>1257</v>
      </c>
      <c r="E309" s="11" t="s">
        <v>1053</v>
      </c>
      <c r="F309" s="11" t="s">
        <v>75</v>
      </c>
      <c r="G309" s="11" t="s">
        <v>489</v>
      </c>
      <c r="H309" s="11" t="s">
        <v>1258</v>
      </c>
      <c r="I309" s="11" t="s">
        <v>1259</v>
      </c>
      <c r="J309" s="10">
        <v>0</v>
      </c>
      <c r="K309" s="10">
        <v>0</v>
      </c>
      <c r="L309" s="11" t="s">
        <v>29</v>
      </c>
    </row>
    <row r="310" spans="1:12" ht="20" customHeight="1" x14ac:dyDescent="0.15">
      <c r="A310" s="8" t="s">
        <v>1260</v>
      </c>
      <c r="B310" s="9" t="s">
        <v>1261</v>
      </c>
      <c r="C310" s="10">
        <v>2026</v>
      </c>
      <c r="D310" s="11" t="s">
        <v>15</v>
      </c>
      <c r="E310" s="11" t="s">
        <v>1262</v>
      </c>
      <c r="F310" s="11" t="s">
        <v>75</v>
      </c>
      <c r="G310" s="12"/>
      <c r="H310" s="12"/>
      <c r="I310" s="11" t="s">
        <v>1263</v>
      </c>
      <c r="J310" s="10">
        <v>0</v>
      </c>
      <c r="K310" s="10">
        <v>0</v>
      </c>
      <c r="L310" s="11" t="s">
        <v>19</v>
      </c>
    </row>
    <row r="311" spans="1:12" ht="20" customHeight="1" x14ac:dyDescent="0.15">
      <c r="A311" s="8" t="s">
        <v>1264</v>
      </c>
      <c r="B311" s="9" t="s">
        <v>1265</v>
      </c>
      <c r="C311" s="10">
        <v>2026</v>
      </c>
      <c r="D311" s="11" t="s">
        <v>1266</v>
      </c>
      <c r="E311" s="11" t="s">
        <v>1262</v>
      </c>
      <c r="F311" s="11" t="s">
        <v>1267</v>
      </c>
      <c r="G311" s="11" t="s">
        <v>660</v>
      </c>
      <c r="H311" s="11" t="s">
        <v>1268</v>
      </c>
      <c r="I311" s="11" t="s">
        <v>1269</v>
      </c>
      <c r="J311" s="10">
        <v>1</v>
      </c>
      <c r="K311" s="10">
        <v>0</v>
      </c>
      <c r="L311" s="11" t="s">
        <v>29</v>
      </c>
    </row>
    <row r="312" spans="1:12" ht="20" customHeight="1" x14ac:dyDescent="0.15">
      <c r="A312" s="8" t="s">
        <v>1270</v>
      </c>
      <c r="B312" s="9" t="s">
        <v>1271</v>
      </c>
      <c r="C312" s="10">
        <v>2026</v>
      </c>
      <c r="D312" s="11" t="s">
        <v>15</v>
      </c>
      <c r="E312" s="11" t="s">
        <v>1262</v>
      </c>
      <c r="F312" s="11" t="s">
        <v>75</v>
      </c>
      <c r="G312" s="12"/>
      <c r="H312" s="12"/>
      <c r="I312" s="11" t="s">
        <v>1272</v>
      </c>
      <c r="J312" s="10">
        <v>0</v>
      </c>
      <c r="K312" s="10">
        <v>0</v>
      </c>
      <c r="L312" s="11" t="s">
        <v>19</v>
      </c>
    </row>
    <row r="313" spans="1:12" ht="20" customHeight="1" x14ac:dyDescent="0.15">
      <c r="A313" s="8" t="s">
        <v>1273</v>
      </c>
      <c r="B313" s="9" t="s">
        <v>1274</v>
      </c>
      <c r="C313" s="10">
        <v>2026</v>
      </c>
      <c r="D313" s="11" t="s">
        <v>15</v>
      </c>
      <c r="E313" s="11" t="s">
        <v>1262</v>
      </c>
      <c r="F313" s="11" t="s">
        <v>75</v>
      </c>
      <c r="G313" s="12"/>
      <c r="H313" s="12"/>
      <c r="I313" s="11" t="s">
        <v>1275</v>
      </c>
      <c r="J313" s="10">
        <v>0</v>
      </c>
      <c r="K313" s="10">
        <v>0</v>
      </c>
      <c r="L313" s="11" t="s">
        <v>19</v>
      </c>
    </row>
    <row r="314" spans="1:12" ht="20" customHeight="1" x14ac:dyDescent="0.15">
      <c r="A314" s="8" t="s">
        <v>1276</v>
      </c>
      <c r="B314" s="9" t="s">
        <v>1277</v>
      </c>
      <c r="C314" s="10">
        <v>2026</v>
      </c>
      <c r="D314" s="11" t="s">
        <v>15</v>
      </c>
      <c r="E314" s="11" t="s">
        <v>1262</v>
      </c>
      <c r="F314" s="11" t="s">
        <v>75</v>
      </c>
      <c r="G314" s="12"/>
      <c r="H314" s="12"/>
      <c r="I314" s="11" t="s">
        <v>1278</v>
      </c>
      <c r="J314" s="10">
        <v>0</v>
      </c>
      <c r="K314" s="10">
        <v>0</v>
      </c>
      <c r="L314" s="11" t="s">
        <v>19</v>
      </c>
    </row>
    <row r="315" spans="1:12" ht="20" customHeight="1" x14ac:dyDescent="0.15">
      <c r="A315" s="8" t="s">
        <v>1279</v>
      </c>
      <c r="B315" s="9" t="s">
        <v>1280</v>
      </c>
      <c r="C315" s="10">
        <v>2026</v>
      </c>
      <c r="D315" s="11" t="s">
        <v>15</v>
      </c>
      <c r="E315" s="11" t="s">
        <v>1262</v>
      </c>
      <c r="F315" s="11" t="s">
        <v>75</v>
      </c>
      <c r="G315" s="12"/>
      <c r="H315" s="12"/>
      <c r="I315" s="11" t="s">
        <v>1281</v>
      </c>
      <c r="J315" s="10">
        <v>0</v>
      </c>
      <c r="K315" s="10">
        <v>0</v>
      </c>
      <c r="L315" s="11" t="s">
        <v>19</v>
      </c>
    </row>
    <row r="316" spans="1:12" ht="20" customHeight="1" x14ac:dyDescent="0.15">
      <c r="A316" s="8" t="s">
        <v>1282</v>
      </c>
      <c r="B316" s="9" t="s">
        <v>1283</v>
      </c>
      <c r="C316" s="10">
        <v>2026</v>
      </c>
      <c r="D316" s="11" t="s">
        <v>15</v>
      </c>
      <c r="E316" s="11" t="s">
        <v>1262</v>
      </c>
      <c r="F316" s="11" t="s">
        <v>75</v>
      </c>
      <c r="G316" s="12"/>
      <c r="H316" s="12"/>
      <c r="I316" s="11" t="s">
        <v>1284</v>
      </c>
      <c r="J316" s="10">
        <v>0</v>
      </c>
      <c r="K316" s="10">
        <v>0</v>
      </c>
      <c r="L316" s="11" t="s">
        <v>19</v>
      </c>
    </row>
    <row r="317" spans="1:12" ht="20" customHeight="1" x14ac:dyDescent="0.15">
      <c r="A317" s="8" t="s">
        <v>1285</v>
      </c>
      <c r="B317" s="9" t="s">
        <v>1286</v>
      </c>
      <c r="C317" s="10">
        <v>2026</v>
      </c>
      <c r="D317" s="11" t="s">
        <v>1192</v>
      </c>
      <c r="E317" s="11" t="s">
        <v>1262</v>
      </c>
      <c r="F317" s="11" t="s">
        <v>1267</v>
      </c>
      <c r="G317" s="11" t="s">
        <v>194</v>
      </c>
      <c r="H317" s="11" t="s">
        <v>1287</v>
      </c>
      <c r="I317" s="11" t="s">
        <v>1288</v>
      </c>
      <c r="J317" s="10">
        <v>1</v>
      </c>
      <c r="K317" s="10">
        <v>0</v>
      </c>
      <c r="L317" s="11" t="s">
        <v>29</v>
      </c>
    </row>
    <row r="318" spans="1:12" ht="20" customHeight="1" x14ac:dyDescent="0.15">
      <c r="A318" s="8" t="s">
        <v>1289</v>
      </c>
      <c r="B318" s="9" t="s">
        <v>1290</v>
      </c>
      <c r="C318" s="10">
        <v>2026</v>
      </c>
      <c r="D318" s="11" t="s">
        <v>15</v>
      </c>
      <c r="E318" s="11" t="s">
        <v>1262</v>
      </c>
      <c r="F318" s="11" t="s">
        <v>75</v>
      </c>
      <c r="G318" s="12"/>
      <c r="H318" s="12"/>
      <c r="I318" s="11" t="s">
        <v>1291</v>
      </c>
      <c r="J318" s="10">
        <v>0</v>
      </c>
      <c r="K318" s="10">
        <v>0</v>
      </c>
      <c r="L318" s="11" t="s">
        <v>19</v>
      </c>
    </row>
    <row r="319" spans="1:12" ht="20" customHeight="1" x14ac:dyDescent="0.15">
      <c r="A319" s="8" t="s">
        <v>1292</v>
      </c>
      <c r="B319" s="9" t="s">
        <v>1293</v>
      </c>
      <c r="C319" s="10">
        <v>2026</v>
      </c>
      <c r="D319" s="11" t="s">
        <v>268</v>
      </c>
      <c r="E319" s="11" t="s">
        <v>1262</v>
      </c>
      <c r="F319" s="11" t="s">
        <v>1267</v>
      </c>
      <c r="G319" s="11" t="s">
        <v>660</v>
      </c>
      <c r="H319" s="11" t="s">
        <v>1294</v>
      </c>
      <c r="I319" s="11" t="s">
        <v>1295</v>
      </c>
      <c r="J319" s="10">
        <v>1</v>
      </c>
      <c r="K319" s="10">
        <v>0</v>
      </c>
      <c r="L319" s="11" t="s">
        <v>29</v>
      </c>
    </row>
    <row r="320" spans="1:12" ht="20" customHeight="1" x14ac:dyDescent="0.15">
      <c r="A320" s="8" t="s">
        <v>1296</v>
      </c>
      <c r="B320" s="9" t="s">
        <v>1297</v>
      </c>
      <c r="C320" s="10">
        <v>2026</v>
      </c>
      <c r="D320" s="11" t="s">
        <v>1298</v>
      </c>
      <c r="E320" s="11" t="s">
        <v>1262</v>
      </c>
      <c r="F320" s="11" t="s">
        <v>1267</v>
      </c>
      <c r="G320" s="11" t="s">
        <v>62</v>
      </c>
      <c r="H320" s="11" t="s">
        <v>1299</v>
      </c>
      <c r="I320" s="11" t="s">
        <v>1300</v>
      </c>
      <c r="J320" s="10">
        <v>1</v>
      </c>
      <c r="K320" s="10">
        <v>0</v>
      </c>
      <c r="L320" s="11" t="s">
        <v>29</v>
      </c>
    </row>
    <row r="321" spans="1:12" ht="20" customHeight="1" x14ac:dyDescent="0.15">
      <c r="A321" s="8" t="s">
        <v>1301</v>
      </c>
      <c r="B321" s="9" t="s">
        <v>1302</v>
      </c>
      <c r="C321" s="10">
        <v>2026</v>
      </c>
      <c r="D321" s="11" t="s">
        <v>1303</v>
      </c>
      <c r="E321" s="11" t="s">
        <v>1262</v>
      </c>
      <c r="F321" s="11" t="s">
        <v>1267</v>
      </c>
      <c r="G321" s="11" t="s">
        <v>62</v>
      </c>
      <c r="H321" s="11" t="s">
        <v>1304</v>
      </c>
      <c r="I321" s="11" t="s">
        <v>1305</v>
      </c>
      <c r="J321" s="10">
        <v>1</v>
      </c>
      <c r="K321" s="10">
        <v>0</v>
      </c>
      <c r="L321" s="11" t="s">
        <v>29</v>
      </c>
    </row>
    <row r="322" spans="1:12" ht="20" customHeight="1" x14ac:dyDescent="0.15">
      <c r="A322" s="8" t="s">
        <v>1306</v>
      </c>
      <c r="B322" s="9" t="s">
        <v>1307</v>
      </c>
      <c r="C322" s="10">
        <v>2025</v>
      </c>
      <c r="D322" s="11" t="s">
        <v>15</v>
      </c>
      <c r="E322" s="11" t="s">
        <v>1262</v>
      </c>
      <c r="F322" s="11" t="s">
        <v>75</v>
      </c>
      <c r="G322" s="12"/>
      <c r="H322" s="12"/>
      <c r="I322" s="11" t="s">
        <v>1308</v>
      </c>
      <c r="J322" s="10">
        <v>0</v>
      </c>
      <c r="K322" s="10">
        <v>0</v>
      </c>
      <c r="L322" s="11" t="s">
        <v>19</v>
      </c>
    </row>
    <row r="323" spans="1:12" ht="20" customHeight="1" x14ac:dyDescent="0.15">
      <c r="A323" s="8" t="s">
        <v>1309</v>
      </c>
      <c r="B323" s="9" t="s">
        <v>1310</v>
      </c>
      <c r="C323" s="10">
        <v>2025</v>
      </c>
      <c r="D323" s="11" t="s">
        <v>315</v>
      </c>
      <c r="E323" s="11" t="s">
        <v>1262</v>
      </c>
      <c r="F323" s="11" t="s">
        <v>75</v>
      </c>
      <c r="G323" s="11" t="s">
        <v>70</v>
      </c>
      <c r="H323" s="11" t="s">
        <v>1311</v>
      </c>
      <c r="I323" s="11" t="s">
        <v>1312</v>
      </c>
      <c r="J323" s="10">
        <v>0</v>
      </c>
      <c r="K323" s="10">
        <v>0</v>
      </c>
      <c r="L323" s="11" t="s">
        <v>29</v>
      </c>
    </row>
    <row r="324" spans="1:12" ht="20" customHeight="1" x14ac:dyDescent="0.15">
      <c r="A324" s="8" t="s">
        <v>1313</v>
      </c>
      <c r="B324" s="9" t="s">
        <v>1314</v>
      </c>
      <c r="C324" s="10">
        <v>2025</v>
      </c>
      <c r="D324" s="11" t="s">
        <v>315</v>
      </c>
      <c r="E324" s="11" t="s">
        <v>1262</v>
      </c>
      <c r="F324" s="11" t="s">
        <v>17</v>
      </c>
      <c r="G324" s="11" t="s">
        <v>170</v>
      </c>
      <c r="H324" s="11" t="s">
        <v>1315</v>
      </c>
      <c r="I324" s="11" t="s">
        <v>1316</v>
      </c>
      <c r="J324" s="10">
        <v>0</v>
      </c>
      <c r="K324" s="10">
        <v>0</v>
      </c>
      <c r="L324" s="11" t="s">
        <v>29</v>
      </c>
    </row>
    <row r="325" spans="1:12" ht="20" customHeight="1" x14ac:dyDescent="0.15">
      <c r="A325" s="8" t="s">
        <v>1317</v>
      </c>
      <c r="B325" s="9" t="s">
        <v>1318</v>
      </c>
      <c r="C325" s="10">
        <v>2025</v>
      </c>
      <c r="D325" s="11" t="s">
        <v>1319</v>
      </c>
      <c r="E325" s="11" t="s">
        <v>1262</v>
      </c>
      <c r="F325" s="11" t="s">
        <v>75</v>
      </c>
      <c r="G325" s="11" t="s">
        <v>826</v>
      </c>
      <c r="H325" s="11" t="s">
        <v>1320</v>
      </c>
      <c r="I325" s="11" t="s">
        <v>1321</v>
      </c>
      <c r="J325" s="10">
        <v>0</v>
      </c>
      <c r="K325" s="10">
        <v>0</v>
      </c>
      <c r="L325" s="11" t="s">
        <v>29</v>
      </c>
    </row>
    <row r="326" spans="1:12" ht="20" customHeight="1" x14ac:dyDescent="0.15">
      <c r="A326" s="8" t="s">
        <v>1322</v>
      </c>
      <c r="B326" s="9" t="s">
        <v>1323</v>
      </c>
      <c r="C326" s="10">
        <v>2025</v>
      </c>
      <c r="D326" s="11" t="s">
        <v>1324</v>
      </c>
      <c r="E326" s="11" t="s">
        <v>1262</v>
      </c>
      <c r="F326" s="11" t="s">
        <v>75</v>
      </c>
      <c r="G326" s="11" t="s">
        <v>660</v>
      </c>
      <c r="H326" s="11" t="s">
        <v>1325</v>
      </c>
      <c r="I326" s="11" t="s">
        <v>1326</v>
      </c>
      <c r="J326" s="10">
        <v>1</v>
      </c>
      <c r="K326" s="10">
        <v>0</v>
      </c>
      <c r="L326" s="11" t="s">
        <v>29</v>
      </c>
    </row>
    <row r="327" spans="1:12" ht="20" customHeight="1" x14ac:dyDescent="0.15">
      <c r="A327" s="8" t="s">
        <v>1327</v>
      </c>
      <c r="B327" s="9" t="s">
        <v>1328</v>
      </c>
      <c r="C327" s="10">
        <v>2025</v>
      </c>
      <c r="D327" s="11" t="s">
        <v>383</v>
      </c>
      <c r="E327" s="11" t="s">
        <v>1262</v>
      </c>
      <c r="F327" s="11" t="s">
        <v>1267</v>
      </c>
      <c r="G327" s="11" t="s">
        <v>930</v>
      </c>
      <c r="H327" s="11" t="s">
        <v>1329</v>
      </c>
      <c r="I327" s="11" t="s">
        <v>1330</v>
      </c>
      <c r="J327" s="10">
        <v>1</v>
      </c>
      <c r="K327" s="10">
        <v>0</v>
      </c>
      <c r="L327" s="11" t="s">
        <v>29</v>
      </c>
    </row>
    <row r="328" spans="1:12" ht="20" customHeight="1" x14ac:dyDescent="0.15">
      <c r="A328" s="8" t="s">
        <v>1331</v>
      </c>
      <c r="B328" s="9" t="s">
        <v>1332</v>
      </c>
      <c r="C328" s="10">
        <v>2025</v>
      </c>
      <c r="D328" s="11" t="s">
        <v>15</v>
      </c>
      <c r="E328" s="11" t="s">
        <v>1262</v>
      </c>
      <c r="F328" s="11" t="s">
        <v>17</v>
      </c>
      <c r="G328" s="12"/>
      <c r="H328" s="12"/>
      <c r="I328" s="11" t="s">
        <v>1333</v>
      </c>
      <c r="J328" s="10">
        <v>0</v>
      </c>
      <c r="K328" s="10">
        <v>0</v>
      </c>
      <c r="L328" s="11" t="s">
        <v>19</v>
      </c>
    </row>
    <row r="329" spans="1:12" ht="20" customHeight="1" x14ac:dyDescent="0.15">
      <c r="A329" s="8" t="s">
        <v>1334</v>
      </c>
      <c r="B329" s="9" t="s">
        <v>1335</v>
      </c>
      <c r="C329" s="10">
        <v>2025</v>
      </c>
      <c r="D329" s="11" t="s">
        <v>15</v>
      </c>
      <c r="E329" s="11" t="s">
        <v>1262</v>
      </c>
      <c r="F329" s="11" t="s">
        <v>75</v>
      </c>
      <c r="G329" s="12"/>
      <c r="H329" s="12"/>
      <c r="I329" s="11" t="s">
        <v>1336</v>
      </c>
      <c r="J329" s="10">
        <v>0</v>
      </c>
      <c r="K329" s="10">
        <v>0</v>
      </c>
      <c r="L329" s="11" t="s">
        <v>19</v>
      </c>
    </row>
    <row r="330" spans="1:12" ht="20" customHeight="1" x14ac:dyDescent="0.15">
      <c r="A330" s="8" t="s">
        <v>1337</v>
      </c>
      <c r="B330" s="9" t="s">
        <v>1338</v>
      </c>
      <c r="C330" s="10">
        <v>2025</v>
      </c>
      <c r="D330" s="11" t="s">
        <v>15</v>
      </c>
      <c r="E330" s="11" t="s">
        <v>1262</v>
      </c>
      <c r="F330" s="11" t="s">
        <v>17</v>
      </c>
      <c r="G330" s="12"/>
      <c r="H330" s="12"/>
      <c r="I330" s="11" t="s">
        <v>1339</v>
      </c>
      <c r="J330" s="10">
        <v>0</v>
      </c>
      <c r="K330" s="10">
        <v>0</v>
      </c>
      <c r="L330" s="11" t="s">
        <v>19</v>
      </c>
    </row>
    <row r="331" spans="1:12" ht="20" customHeight="1" x14ac:dyDescent="0.15">
      <c r="A331" s="8" t="s">
        <v>1340</v>
      </c>
      <c r="B331" s="9" t="s">
        <v>1341</v>
      </c>
      <c r="C331" s="10">
        <v>2025</v>
      </c>
      <c r="D331" s="11" t="s">
        <v>15</v>
      </c>
      <c r="E331" s="11" t="s">
        <v>1262</v>
      </c>
      <c r="F331" s="11" t="s">
        <v>75</v>
      </c>
      <c r="G331" s="12"/>
      <c r="H331" s="12"/>
      <c r="I331" s="11" t="s">
        <v>1342</v>
      </c>
      <c r="J331" s="10">
        <v>0</v>
      </c>
      <c r="K331" s="10">
        <v>0</v>
      </c>
      <c r="L331" s="11" t="s">
        <v>19</v>
      </c>
    </row>
    <row r="332" spans="1:12" ht="20" customHeight="1" x14ac:dyDescent="0.15">
      <c r="A332" s="8" t="s">
        <v>1343</v>
      </c>
      <c r="B332" s="9" t="s">
        <v>1344</v>
      </c>
      <c r="C332" s="10">
        <v>2025</v>
      </c>
      <c r="D332" s="11" t="s">
        <v>268</v>
      </c>
      <c r="E332" s="11" t="s">
        <v>1262</v>
      </c>
      <c r="F332" s="11" t="s">
        <v>1267</v>
      </c>
      <c r="G332" s="11" t="s">
        <v>122</v>
      </c>
      <c r="H332" s="11" t="s">
        <v>1345</v>
      </c>
      <c r="I332" s="11" t="s">
        <v>1346</v>
      </c>
      <c r="J332" s="10">
        <v>1</v>
      </c>
      <c r="K332" s="10">
        <v>0</v>
      </c>
      <c r="L332" s="11" t="s">
        <v>29</v>
      </c>
    </row>
    <row r="333" spans="1:12" ht="20" customHeight="1" x14ac:dyDescent="0.15">
      <c r="A333" s="8" t="s">
        <v>1347</v>
      </c>
      <c r="B333" s="9" t="s">
        <v>1348</v>
      </c>
      <c r="C333" s="10">
        <v>2025</v>
      </c>
      <c r="D333" s="11" t="s">
        <v>1349</v>
      </c>
      <c r="E333" s="11" t="s">
        <v>1262</v>
      </c>
      <c r="F333" s="11" t="s">
        <v>1267</v>
      </c>
      <c r="G333" s="11" t="s">
        <v>826</v>
      </c>
      <c r="H333" s="11" t="s">
        <v>1350</v>
      </c>
      <c r="I333" s="11" t="s">
        <v>1351</v>
      </c>
      <c r="J333" s="10">
        <v>1</v>
      </c>
      <c r="K333" s="10">
        <v>0</v>
      </c>
      <c r="L333" s="11" t="s">
        <v>29</v>
      </c>
    </row>
    <row r="334" spans="1:12" ht="20" customHeight="1" x14ac:dyDescent="0.15">
      <c r="A334" s="8" t="s">
        <v>1352</v>
      </c>
      <c r="B334" s="9" t="s">
        <v>1353</v>
      </c>
      <c r="C334" s="10">
        <v>2025</v>
      </c>
      <c r="D334" s="11" t="s">
        <v>25</v>
      </c>
      <c r="E334" s="11" t="s">
        <v>1262</v>
      </c>
      <c r="F334" s="11" t="s">
        <v>1267</v>
      </c>
      <c r="G334" s="11" t="s">
        <v>484</v>
      </c>
      <c r="H334" s="11" t="s">
        <v>1354</v>
      </c>
      <c r="I334" s="11" t="s">
        <v>1355</v>
      </c>
      <c r="J334" s="10">
        <v>1</v>
      </c>
      <c r="K334" s="10">
        <v>0</v>
      </c>
      <c r="L334" s="11" t="s">
        <v>29</v>
      </c>
    </row>
    <row r="335" spans="1:12" ht="20" customHeight="1" x14ac:dyDescent="0.15">
      <c r="A335" s="8" t="s">
        <v>1356</v>
      </c>
      <c r="B335" s="9" t="s">
        <v>1357</v>
      </c>
      <c r="C335" s="10">
        <v>2024</v>
      </c>
      <c r="D335" s="11" t="s">
        <v>15</v>
      </c>
      <c r="E335" s="11" t="s">
        <v>1262</v>
      </c>
      <c r="F335" s="11" t="s">
        <v>75</v>
      </c>
      <c r="G335" s="12"/>
      <c r="H335" s="12"/>
      <c r="I335" s="11" t="s">
        <v>1358</v>
      </c>
      <c r="J335" s="10">
        <v>0</v>
      </c>
      <c r="K335" s="10">
        <v>0</v>
      </c>
      <c r="L335" s="11" t="s">
        <v>19</v>
      </c>
    </row>
    <row r="336" spans="1:12" ht="20" customHeight="1" x14ac:dyDescent="0.15">
      <c r="A336" s="8" t="s">
        <v>1359</v>
      </c>
      <c r="B336" s="9" t="s">
        <v>1360</v>
      </c>
      <c r="C336" s="10">
        <v>2023</v>
      </c>
      <c r="D336" s="11" t="s">
        <v>315</v>
      </c>
      <c r="E336" s="11" t="s">
        <v>1262</v>
      </c>
      <c r="F336" s="11" t="s">
        <v>75</v>
      </c>
      <c r="G336" s="11" t="s">
        <v>170</v>
      </c>
      <c r="H336" s="11" t="s">
        <v>1361</v>
      </c>
      <c r="I336" s="11" t="s">
        <v>1362</v>
      </c>
      <c r="J336" s="10">
        <v>0</v>
      </c>
      <c r="K336" s="10">
        <v>0</v>
      </c>
      <c r="L336" s="11" t="s">
        <v>29</v>
      </c>
    </row>
    <row r="337" spans="1:12" ht="20" customHeight="1" x14ac:dyDescent="0.15">
      <c r="A337" s="8" t="s">
        <v>1363</v>
      </c>
      <c r="B337" s="9" t="s">
        <v>1364</v>
      </c>
      <c r="C337" s="10">
        <v>2023</v>
      </c>
      <c r="D337" s="11" t="s">
        <v>15</v>
      </c>
      <c r="E337" s="11" t="s">
        <v>1262</v>
      </c>
      <c r="F337" s="11" t="s">
        <v>17</v>
      </c>
      <c r="G337" s="12"/>
      <c r="H337" s="12"/>
      <c r="I337" s="11" t="s">
        <v>1365</v>
      </c>
      <c r="J337" s="10">
        <v>0</v>
      </c>
      <c r="K337" s="10">
        <v>0</v>
      </c>
      <c r="L337" s="11" t="s">
        <v>19</v>
      </c>
    </row>
    <row r="338" spans="1:12" ht="20" customHeight="1" x14ac:dyDescent="0.15">
      <c r="A338" s="8" t="s">
        <v>1366</v>
      </c>
      <c r="B338" s="9" t="s">
        <v>1367</v>
      </c>
      <c r="C338" s="10">
        <v>2023</v>
      </c>
      <c r="D338" s="11" t="s">
        <v>315</v>
      </c>
      <c r="E338" s="11" t="s">
        <v>1262</v>
      </c>
      <c r="F338" s="11" t="s">
        <v>75</v>
      </c>
      <c r="G338" s="11" t="s">
        <v>878</v>
      </c>
      <c r="H338" s="11" t="s">
        <v>1368</v>
      </c>
      <c r="I338" s="11" t="s">
        <v>1369</v>
      </c>
      <c r="J338" s="10">
        <v>0</v>
      </c>
      <c r="K338" s="10">
        <v>0</v>
      </c>
      <c r="L338" s="11" t="s">
        <v>29</v>
      </c>
    </row>
    <row r="339" spans="1:12" ht="20" customHeight="1" x14ac:dyDescent="0.15">
      <c r="A339" s="8" t="s">
        <v>1370</v>
      </c>
      <c r="B339" s="9" t="s">
        <v>1371</v>
      </c>
      <c r="C339" s="10">
        <v>2023</v>
      </c>
      <c r="D339" s="11" t="s">
        <v>193</v>
      </c>
      <c r="E339" s="11" t="s">
        <v>1262</v>
      </c>
      <c r="F339" s="11" t="s">
        <v>17</v>
      </c>
      <c r="G339" s="11" t="s">
        <v>660</v>
      </c>
      <c r="H339" s="11" t="s">
        <v>1372</v>
      </c>
      <c r="I339" s="11" t="s">
        <v>1373</v>
      </c>
      <c r="J339" s="10">
        <v>0</v>
      </c>
      <c r="K339" s="10">
        <v>0</v>
      </c>
      <c r="L339" s="11" t="s">
        <v>29</v>
      </c>
    </row>
    <row r="340" spans="1:12" ht="20" customHeight="1" x14ac:dyDescent="0.15">
      <c r="A340" s="8" t="s">
        <v>1374</v>
      </c>
      <c r="B340" s="9" t="s">
        <v>1375</v>
      </c>
      <c r="C340" s="10">
        <v>2022</v>
      </c>
      <c r="D340" s="11" t="s">
        <v>187</v>
      </c>
      <c r="E340" s="11" t="s">
        <v>1262</v>
      </c>
      <c r="F340" s="11" t="s">
        <v>17</v>
      </c>
      <c r="G340" s="11" t="s">
        <v>1376</v>
      </c>
      <c r="H340" s="11" t="s">
        <v>1377</v>
      </c>
      <c r="I340" s="11" t="s">
        <v>1378</v>
      </c>
      <c r="J340" s="10">
        <v>0</v>
      </c>
      <c r="K340" s="10">
        <v>0</v>
      </c>
      <c r="L340" s="11" t="s">
        <v>29</v>
      </c>
    </row>
    <row r="341" spans="1:12" ht="20" customHeight="1" x14ac:dyDescent="0.15">
      <c r="A341" s="8" t="s">
        <v>1379</v>
      </c>
      <c r="B341" s="9" t="s">
        <v>1380</v>
      </c>
      <c r="C341" s="10">
        <v>2018</v>
      </c>
      <c r="D341" s="11" t="s">
        <v>315</v>
      </c>
      <c r="E341" s="11" t="s">
        <v>1262</v>
      </c>
      <c r="F341" s="11" t="s">
        <v>75</v>
      </c>
      <c r="G341" s="11" t="s">
        <v>1381</v>
      </c>
      <c r="H341" s="11" t="s">
        <v>1382</v>
      </c>
      <c r="I341" s="11" t="s">
        <v>1383</v>
      </c>
      <c r="J341" s="10">
        <v>0</v>
      </c>
      <c r="K341" s="10">
        <v>0</v>
      </c>
      <c r="L341" s="11" t="s">
        <v>29</v>
      </c>
    </row>
    <row r="342" spans="1:12" ht="20" customHeight="1" x14ac:dyDescent="0.15">
      <c r="A342" s="8" t="s">
        <v>1384</v>
      </c>
      <c r="B342" s="9" t="s">
        <v>1385</v>
      </c>
      <c r="C342" s="10">
        <v>2018</v>
      </c>
      <c r="D342" s="11" t="s">
        <v>315</v>
      </c>
      <c r="E342" s="11" t="s">
        <v>1262</v>
      </c>
      <c r="F342" s="11" t="s">
        <v>75</v>
      </c>
      <c r="G342" s="11" t="s">
        <v>550</v>
      </c>
      <c r="H342" s="11" t="s">
        <v>1386</v>
      </c>
      <c r="I342" s="11" t="s">
        <v>1387</v>
      </c>
      <c r="J342" s="10">
        <v>0</v>
      </c>
      <c r="K342" s="10">
        <v>0</v>
      </c>
      <c r="L342" s="11" t="s">
        <v>29</v>
      </c>
    </row>
  </sheetData>
  <mergeCells count="1">
    <mergeCell ref="A1:L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Classificados (v2)</vt:lpstr>
      <vt:lpstr>Classificados</vt:lpstr>
      <vt:lpstr>Scopus</vt:lpstr>
      <vt:lpstr>Sheet5</vt:lpstr>
      <vt:lpstr>Sheet3</vt:lpstr>
      <vt:lpstr>Detail1</vt:lpstr>
      <vt:lpstr>Detail2</vt:lpstr>
      <vt:lpstr>Sheet2</vt:lpstr>
      <vt:lpstr>Sheet1</vt:lpstr>
      <vt:lpstr>Sheet 1 - agentic_ir_corpus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Valdomiro Souza Jr</cp:lastModifiedBy>
  <dcterms:created xsi:type="dcterms:W3CDTF">2026-08-26T00:01:55Z</dcterms:created>
  <dcterms:modified xsi:type="dcterms:W3CDTF">2026-09-06T21:14:40Z</dcterms:modified>
</cp:coreProperties>
</file>